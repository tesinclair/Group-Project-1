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hailesh Naire\Documents\MyDocuments\MAT-30029-Aut20\Group projects\Project 1\"/>
    </mc:Choice>
  </mc:AlternateContent>
  <bookViews>
    <workbookView xWindow="0" yWindow="0" windowWidth="20520" windowHeight="8895" activeTab="1"/>
  </bookViews>
  <sheets>
    <sheet name="Sold Vehicles" sheetId="1" r:id="rId1"/>
    <sheet name="By Day Data" sheetId="2" r:id="rId2"/>
    <sheet name="Definitions"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2" i="1"/>
  <c r="E2" i="1"/>
  <c r="F11" i="1"/>
  <c r="E39" i="1" l="1"/>
  <c r="E65" i="1"/>
  <c r="E93" i="1"/>
  <c r="E41" i="1"/>
  <c r="E67" i="1"/>
  <c r="E87" i="1"/>
  <c r="E71" i="1"/>
  <c r="E9" i="1"/>
  <c r="E54" i="1"/>
  <c r="E85" i="1"/>
  <c r="E26" i="1"/>
  <c r="E19" i="1"/>
  <c r="E61" i="1"/>
  <c r="E44" i="1"/>
  <c r="E70" i="1"/>
  <c r="E55" i="1"/>
  <c r="E28" i="1"/>
  <c r="E36" i="1"/>
  <c r="E64" i="1"/>
  <c r="E33" i="1"/>
  <c r="E49" i="1"/>
  <c r="E73" i="1"/>
  <c r="E25" i="1"/>
  <c r="E57" i="1"/>
  <c r="E62" i="1"/>
  <c r="E27" i="1"/>
  <c r="E32" i="1"/>
  <c r="E100" i="1"/>
  <c r="E14" i="1"/>
  <c r="E50" i="1"/>
  <c r="E82" i="1"/>
  <c r="E97" i="1"/>
  <c r="E101" i="1"/>
  <c r="E89" i="1"/>
  <c r="E53" i="1"/>
  <c r="E4" i="1"/>
  <c r="E69" i="1"/>
  <c r="E63" i="1"/>
  <c r="E23" i="1"/>
  <c r="E92" i="1"/>
  <c r="E29" i="1"/>
  <c r="E18" i="1"/>
  <c r="E94" i="1"/>
  <c r="E35" i="1"/>
  <c r="E72" i="1"/>
  <c r="E99" i="1"/>
  <c r="E56" i="1"/>
  <c r="E38" i="1"/>
  <c r="E3" i="1"/>
  <c r="E34" i="1"/>
  <c r="E7" i="1"/>
  <c r="E42" i="1"/>
  <c r="E96" i="1"/>
  <c r="E45" i="1"/>
  <c r="E30" i="1"/>
  <c r="E51" i="1"/>
  <c r="E76" i="1"/>
  <c r="E79" i="1"/>
  <c r="E95" i="1"/>
  <c r="E98" i="1"/>
  <c r="E59" i="1"/>
  <c r="E10" i="1"/>
  <c r="E83" i="1"/>
  <c r="E12" i="1"/>
  <c r="E86" i="1"/>
  <c r="E43" i="1"/>
  <c r="E88" i="1"/>
  <c r="E20" i="1"/>
  <c r="E22" i="1"/>
  <c r="E5" i="1"/>
  <c r="E46" i="1"/>
  <c r="E84" i="1"/>
  <c r="E8" i="1"/>
  <c r="E52" i="1"/>
  <c r="E37" i="1"/>
  <c r="E74" i="1"/>
  <c r="E75" i="1"/>
  <c r="E77" i="1"/>
  <c r="E21" i="1"/>
  <c r="E16" i="1"/>
  <c r="E66" i="1"/>
  <c r="E91" i="1"/>
  <c r="E81" i="1"/>
  <c r="E13" i="1"/>
  <c r="E24" i="1"/>
  <c r="E6" i="1"/>
  <c r="E90" i="1"/>
  <c r="E60" i="1"/>
  <c r="E17" i="1"/>
  <c r="E68" i="1"/>
  <c r="E47" i="1"/>
  <c r="E40" i="1"/>
  <c r="E15" i="1"/>
  <c r="E48" i="1"/>
  <c r="E78" i="1"/>
  <c r="E31" i="1"/>
  <c r="E11" i="1"/>
  <c r="E80" i="1"/>
  <c r="E58" i="1"/>
  <c r="F39" i="1"/>
  <c r="F65" i="1"/>
  <c r="F93" i="1"/>
  <c r="F41" i="1"/>
  <c r="F67" i="1"/>
  <c r="F87" i="1"/>
  <c r="F71" i="1"/>
  <c r="F9" i="1"/>
  <c r="F54" i="1"/>
  <c r="F85" i="1"/>
  <c r="F26" i="1"/>
  <c r="F19" i="1"/>
  <c r="F61" i="1"/>
  <c r="F44" i="1"/>
  <c r="F70" i="1"/>
  <c r="F55" i="1"/>
  <c r="F28" i="1"/>
  <c r="F36" i="1"/>
  <c r="F64" i="1"/>
  <c r="F33" i="1"/>
  <c r="F49" i="1"/>
  <c r="F73" i="1"/>
  <c r="F25" i="1"/>
  <c r="F57" i="1"/>
  <c r="F62" i="1"/>
  <c r="F27" i="1"/>
  <c r="F32" i="1"/>
  <c r="F100" i="1"/>
  <c r="F14" i="1"/>
  <c r="F50" i="1"/>
  <c r="F82" i="1"/>
  <c r="F97" i="1"/>
  <c r="F101" i="1"/>
  <c r="F89" i="1"/>
  <c r="F53" i="1"/>
  <c r="F4" i="1"/>
  <c r="F69" i="1"/>
  <c r="F63" i="1"/>
  <c r="F23" i="1"/>
  <c r="F92" i="1"/>
  <c r="F29" i="1"/>
  <c r="F18" i="1"/>
  <c r="F94" i="1"/>
  <c r="F35" i="1"/>
  <c r="F72" i="1"/>
  <c r="F99" i="1"/>
  <c r="F56" i="1"/>
  <c r="F38" i="1"/>
  <c r="F3" i="1"/>
  <c r="F34" i="1"/>
  <c r="F7" i="1"/>
  <c r="F42" i="1"/>
  <c r="F96" i="1"/>
  <c r="F45" i="1"/>
  <c r="F30" i="1"/>
  <c r="F51" i="1"/>
  <c r="F76" i="1"/>
  <c r="F79" i="1"/>
  <c r="F95" i="1"/>
  <c r="F98" i="1"/>
  <c r="F59" i="1"/>
  <c r="F10" i="1"/>
  <c r="F83" i="1"/>
  <c r="F12" i="1"/>
  <c r="F86" i="1"/>
  <c r="F43" i="1"/>
  <c r="F88" i="1"/>
  <c r="F20" i="1"/>
  <c r="F22" i="1"/>
  <c r="F5" i="1"/>
  <c r="F46" i="1"/>
  <c r="F84" i="1"/>
  <c r="F8" i="1"/>
  <c r="F52" i="1"/>
  <c r="F37" i="1"/>
  <c r="F74" i="1"/>
  <c r="F75" i="1"/>
  <c r="F77" i="1"/>
  <c r="F21" i="1"/>
  <c r="F16" i="1"/>
  <c r="F66" i="1"/>
  <c r="F91" i="1"/>
  <c r="F81" i="1"/>
  <c r="F13" i="1"/>
  <c r="F24" i="1"/>
  <c r="F6" i="1"/>
  <c r="F90" i="1"/>
  <c r="F60" i="1"/>
  <c r="F17" i="1"/>
  <c r="F68" i="1"/>
  <c r="F47" i="1"/>
  <c r="F2" i="1"/>
  <c r="F40" i="1"/>
  <c r="F15" i="1"/>
  <c r="F48" i="1"/>
  <c r="F78" i="1"/>
  <c r="F31" i="1"/>
  <c r="F80" i="1"/>
  <c r="F58" i="1"/>
</calcChain>
</file>

<file path=xl/sharedStrings.xml><?xml version="1.0" encoding="utf-8"?>
<sst xmlns="http://schemas.openxmlformats.org/spreadsheetml/2006/main" count="318" uniqueCount="51">
  <si>
    <t>Manufacturer</t>
  </si>
  <si>
    <t>Vehicle ID</t>
  </si>
  <si>
    <t>Average Desirability</t>
  </si>
  <si>
    <t>Average Price Position</t>
  </si>
  <si>
    <t>Selling Price Position</t>
  </si>
  <si>
    <t>Profit</t>
  </si>
  <si>
    <t>Benchmark Ad Views per Day</t>
  </si>
  <si>
    <t>Performance vs Benchmark</t>
  </si>
  <si>
    <t>Days on Site</t>
  </si>
  <si>
    <t>BMW</t>
  </si>
  <si>
    <t>Audi</t>
  </si>
  <si>
    <t>Volkswagen</t>
  </si>
  <si>
    <t>Vauxhall</t>
  </si>
  <si>
    <t>Ford</t>
  </si>
  <si>
    <t>AUDI</t>
  </si>
  <si>
    <t>FORD</t>
  </si>
  <si>
    <t>VAUXHALL</t>
  </si>
  <si>
    <t>VOLKSWAGEN</t>
  </si>
  <si>
    <t>Date</t>
  </si>
  <si>
    <t>Vehicles</t>
  </si>
  <si>
    <t>Ad Views per Car per Day</t>
  </si>
  <si>
    <t>Benchmark Ad Views per Car per Day</t>
  </si>
  <si>
    <t>Rec selling price</t>
  </si>
  <si>
    <t>Buy Price</t>
  </si>
  <si>
    <t>Buy Price Position</t>
  </si>
  <si>
    <t>Price Sold</t>
  </si>
  <si>
    <t>Desirability</t>
  </si>
  <si>
    <t>A score given to a vehicles to indicate how easy a dealer will be able to sell a car</t>
  </si>
  <si>
    <t>Price Position</t>
  </si>
  <si>
    <t>The price the vehicle is recommended to be sold at</t>
  </si>
  <si>
    <t>How a car is priced in relation to the rec selling price (e.g. if the rec selling price is £10,000 and a car is at £9,000 that would be 90 price position)</t>
  </si>
  <si>
    <t>Ad View</t>
  </si>
  <si>
    <t>When a potential car buyer has viewed a car in detail on the website</t>
  </si>
  <si>
    <t>(Total ad views per car per day / Benchmark ad views per car per day) - 1</t>
  </si>
  <si>
    <t>Sold Vehicles Tab Definitions</t>
  </si>
  <si>
    <t>By Day Data Tab Definitions</t>
  </si>
  <si>
    <t>Unique ID given to each car the dealer has sold (integer between 1 and 100)</t>
  </si>
  <si>
    <t>Price position the vehicle was bought for by the dealer</t>
  </si>
  <si>
    <t>Price position the vehicle was sold for by the dealer</t>
  </si>
  <si>
    <t>Actual price the vehicle was bought for by the dealer</t>
  </si>
  <si>
    <t>Actual price the vehicle was sold for by the dealer</t>
  </si>
  <si>
    <t>Buy Price minus Sell Price</t>
  </si>
  <si>
    <t>Ad Views per car per Day</t>
  </si>
  <si>
    <t>Total ad views a car (or group of cars) gets divided by days on site. For the sold vehicle tab the total ad views are for that one car over its lifetime. For the by day data the total of ad views will be for all vehicles of that manufacturer on that day.</t>
  </si>
  <si>
    <t>Benchmark group</t>
  </si>
  <si>
    <t>The average ad views per car per day for vehicles in its benchmark group.</t>
  </si>
  <si>
    <t>A cars benchmark group is a group of cars we've decided are similar enough to it that they should perform similarly.</t>
  </si>
  <si>
    <t>Number of days a vehicle took to sell from first being advertised. Assume the vehicle was on the site for all of those days.</t>
  </si>
  <si>
    <t>Number of vehicles the dealer has on the site on that day of that manufacturer</t>
  </si>
  <si>
    <t>Average Price Position of those vehicles (for price position definition see above)</t>
  </si>
  <si>
    <t>The average ad views per car per day for vehicles in its benchmark group (for benchmark group definition see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</si>
</sst>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_-* #,##0.0_-;\-* #,##0.0_-;_-* &quot;-&quot;??_-;_-@_-"/>
    <numFmt numFmtId="165" formatCode="&quot;£&quot;#,##0"/>
  </numFmts>
  <fonts count="3" x14ac:knownFonts="1">
    <font>
      <sz val="11"/>
      <color theme="1"/>
      <name val="Calibri"/>
      <family val="2"/>
      <scheme val="minor"/>
    </font>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64" fontId="0" fillId="0" borderId="0" xfId="1" applyNumberFormat="1" applyFont="1"/>
    <xf numFmtId="9" fontId="0" fillId="0" borderId="0" xfId="2" applyFont="1"/>
    <xf numFmtId="43" fontId="0" fillId="0" borderId="0" xfId="1" applyFont="1"/>
    <xf numFmtId="165" fontId="0" fillId="0" borderId="0" xfId="1" applyNumberFormat="1" applyFont="1"/>
    <xf numFmtId="165" fontId="0" fillId="0" borderId="0" xfId="0" applyNumberFormat="1"/>
    <xf numFmtId="43" fontId="0" fillId="0" borderId="0" xfId="0" applyNumberFormat="1"/>
    <xf numFmtId="0" fontId="0" fillId="0" borderId="0" xfId="0" applyAlignment="1">
      <alignment horizontal="left"/>
    </xf>
    <xf numFmtId="164" fontId="0" fillId="0" borderId="0" xfId="1" applyNumberFormat="1" applyFont="1" applyAlignment="1">
      <alignment horizontal="left"/>
    </xf>
    <xf numFmtId="165" fontId="0" fillId="0" borderId="0" xfId="0" applyNumberFormat="1" applyAlignment="1">
      <alignment horizontal="left"/>
    </xf>
    <xf numFmtId="165" fontId="0" fillId="0" borderId="0" xfId="1" applyNumberFormat="1" applyFont="1" applyAlignment="1">
      <alignment horizontal="left"/>
    </xf>
    <xf numFmtId="9" fontId="0" fillId="0" borderId="0" xfId="2" applyFont="1" applyAlignment="1">
      <alignment horizontal="left"/>
    </xf>
    <xf numFmtId="0" fontId="2" fillId="0" borderId="0" xfId="0" applyFont="1"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zoomScale="85" zoomScaleNormal="85" workbookViewId="0"/>
  </sheetViews>
  <sheetFormatPr defaultRowHeight="14.25" x14ac:dyDescent="0.45"/>
  <cols>
    <col min="1" max="1" width="12.19921875" bestFit="1" customWidth="1"/>
    <col min="2" max="2" width="9.06640625" bestFit="1" customWidth="1"/>
    <col min="3" max="3" width="17.19921875" bestFit="1" customWidth="1"/>
    <col min="4" max="4" width="20.53125" style="1" bestFit="1" customWidth="1"/>
    <col min="5" max="5" width="20.53125" style="1" customWidth="1"/>
    <col min="6" max="6" width="19.06640625" style="1" bestFit="1" customWidth="1"/>
    <col min="7" max="7" width="14" style="5" bestFit="1" customWidth="1"/>
    <col min="8" max="8" width="14.06640625" style="4" bestFit="1" customWidth="1"/>
    <col min="9" max="9" width="14.53125" style="5" bestFit="1" customWidth="1"/>
    <col min="10" max="10" width="8.796875" style="5" bestFit="1" customWidth="1"/>
    <col min="11" max="11" width="23.59765625" style="3" bestFit="1" customWidth="1"/>
    <col min="12" max="12" width="24.9296875" bestFit="1" customWidth="1"/>
    <col min="13" max="13" width="23.53125" style="2" bestFit="1" customWidth="1"/>
    <col min="14" max="14" width="10.9296875" bestFit="1" customWidth="1"/>
  </cols>
  <sheetData>
    <row r="1" spans="1:15" x14ac:dyDescent="0.45">
      <c r="A1" t="s">
        <v>0</v>
      </c>
      <c r="B1" t="s">
        <v>1</v>
      </c>
      <c r="C1" t="s">
        <v>2</v>
      </c>
      <c r="D1" s="1" t="s">
        <v>3</v>
      </c>
      <c r="E1" s="1" t="s">
        <v>24</v>
      </c>
      <c r="F1" s="1" t="s">
        <v>4</v>
      </c>
      <c r="G1" s="5" t="s">
        <v>22</v>
      </c>
      <c r="H1" s="4" t="s">
        <v>23</v>
      </c>
      <c r="I1" s="5" t="s">
        <v>25</v>
      </c>
      <c r="J1" s="5" t="s">
        <v>5</v>
      </c>
      <c r="K1" t="s">
        <v>42</v>
      </c>
      <c r="L1" t="s">
        <v>6</v>
      </c>
      <c r="M1" s="2" t="s">
        <v>7</v>
      </c>
      <c r="N1" t="s">
        <v>8</v>
      </c>
    </row>
    <row r="2" spans="1:15" x14ac:dyDescent="0.45">
      <c r="A2" t="s">
        <v>11</v>
      </c>
      <c r="B2">
        <v>1</v>
      </c>
      <c r="C2">
        <v>2.2999999999999998</v>
      </c>
      <c r="D2" s="1">
        <v>112.16402552204175</v>
      </c>
      <c r="E2" s="1">
        <f t="shared" ref="E2:E33" si="0">H2/G2*100</f>
        <v>86.876060247776692</v>
      </c>
      <c r="F2" s="1">
        <f t="shared" ref="F2:F33" si="1">I2/G2*100</f>
        <v>98.442399629877144</v>
      </c>
      <c r="G2" s="5">
        <v>19453</v>
      </c>
      <c r="H2" s="4">
        <v>16900</v>
      </c>
      <c r="I2" s="5">
        <v>19150</v>
      </c>
      <c r="J2" s="5">
        <f>I2-H2</f>
        <v>2250</v>
      </c>
      <c r="K2" s="3">
        <v>11.436243877030165</v>
      </c>
      <c r="L2">
        <v>12.4</v>
      </c>
      <c r="M2" s="2">
        <v>-6.9950041183294495E-2</v>
      </c>
      <c r="N2">
        <v>44</v>
      </c>
    </row>
    <row r="3" spans="1:15" x14ac:dyDescent="0.45">
      <c r="A3" t="s">
        <v>12</v>
      </c>
      <c r="B3">
        <v>2</v>
      </c>
      <c r="C3">
        <v>3.7</v>
      </c>
      <c r="D3" s="1">
        <v>92.99549861495845</v>
      </c>
      <c r="E3" s="1">
        <f t="shared" si="0"/>
        <v>77.117218171620863</v>
      </c>
      <c r="F3" s="1">
        <f t="shared" si="1"/>
        <v>89.736399326977008</v>
      </c>
      <c r="G3" s="5">
        <v>7132</v>
      </c>
      <c r="H3" s="4">
        <v>5500</v>
      </c>
      <c r="I3" s="5">
        <v>6400</v>
      </c>
      <c r="J3" s="5">
        <f t="shared" ref="J3:J66" si="2">I3-H3</f>
        <v>900</v>
      </c>
      <c r="K3" s="3">
        <v>8.8161008691135727</v>
      </c>
      <c r="L3">
        <v>7.7</v>
      </c>
      <c r="M3" s="2">
        <v>0.13045334833795</v>
      </c>
      <c r="N3">
        <v>30</v>
      </c>
      <c r="O3" s="6"/>
    </row>
    <row r="4" spans="1:15" x14ac:dyDescent="0.45">
      <c r="A4" t="s">
        <v>10</v>
      </c>
      <c r="B4">
        <v>3</v>
      </c>
      <c r="C4">
        <v>4.5</v>
      </c>
      <c r="D4" s="1">
        <v>101.17635901162791</v>
      </c>
      <c r="E4" s="1">
        <f t="shared" si="0"/>
        <v>83.713850837138509</v>
      </c>
      <c r="F4" s="1">
        <f t="shared" si="1"/>
        <v>95.47530095475301</v>
      </c>
      <c r="G4" s="5">
        <v>7227</v>
      </c>
      <c r="H4" s="4">
        <v>6050</v>
      </c>
      <c r="I4" s="5">
        <v>6900</v>
      </c>
      <c r="J4" s="5">
        <f t="shared" si="2"/>
        <v>850</v>
      </c>
      <c r="K4" s="3">
        <v>19.733104632558138</v>
      </c>
      <c r="L4">
        <v>19.2</v>
      </c>
      <c r="M4" s="2">
        <v>2.5544596976744265E-2</v>
      </c>
      <c r="N4">
        <v>28</v>
      </c>
    </row>
    <row r="5" spans="1:15" x14ac:dyDescent="0.45">
      <c r="A5" t="s">
        <v>9</v>
      </c>
      <c r="B5">
        <v>4</v>
      </c>
      <c r="C5">
        <v>2</v>
      </c>
      <c r="D5" s="1">
        <v>110.18470840480275</v>
      </c>
      <c r="E5" s="1">
        <f t="shared" si="0"/>
        <v>88.053670808873989</v>
      </c>
      <c r="F5" s="1">
        <f t="shared" si="1"/>
        <v>96.820919417549746</v>
      </c>
      <c r="G5" s="5">
        <v>13117</v>
      </c>
      <c r="H5" s="4">
        <v>11550</v>
      </c>
      <c r="I5" s="5">
        <v>12700</v>
      </c>
      <c r="J5" s="5">
        <f t="shared" si="2"/>
        <v>1150</v>
      </c>
      <c r="K5" s="3">
        <v>19.472853370754713</v>
      </c>
      <c r="L5">
        <v>21.9</v>
      </c>
      <c r="M5" s="2">
        <v>-0.10528718254716996</v>
      </c>
      <c r="N5">
        <v>36</v>
      </c>
    </row>
    <row r="6" spans="1:15" x14ac:dyDescent="0.45">
      <c r="A6" t="s">
        <v>9</v>
      </c>
      <c r="B6">
        <v>5</v>
      </c>
      <c r="C6">
        <v>3</v>
      </c>
      <c r="D6" s="1">
        <v>110.74470840480275</v>
      </c>
      <c r="E6" s="1">
        <f t="shared" si="0"/>
        <v>88.083340391293291</v>
      </c>
      <c r="F6" s="1">
        <f t="shared" si="1"/>
        <v>98.882019141187428</v>
      </c>
      <c r="G6" s="5">
        <v>23614</v>
      </c>
      <c r="H6" s="4">
        <v>20800</v>
      </c>
      <c r="I6" s="5">
        <v>23350</v>
      </c>
      <c r="J6" s="5">
        <f t="shared" si="2"/>
        <v>2550</v>
      </c>
      <c r="K6" s="3">
        <v>17.98315615060034</v>
      </c>
      <c r="L6">
        <v>21.9</v>
      </c>
      <c r="M6" s="2">
        <v>-0.19494793588336204</v>
      </c>
      <c r="N6">
        <v>41</v>
      </c>
    </row>
    <row r="7" spans="1:15" x14ac:dyDescent="0.45">
      <c r="A7" t="s">
        <v>11</v>
      </c>
      <c r="B7">
        <v>6</v>
      </c>
      <c r="C7">
        <v>2</v>
      </c>
      <c r="D7" s="1">
        <v>104.88402552204177</v>
      </c>
      <c r="E7" s="1">
        <f t="shared" si="0"/>
        <v>87.66968325791855</v>
      </c>
      <c r="F7" s="1">
        <f t="shared" si="1"/>
        <v>103.2239819004525</v>
      </c>
      <c r="G7" s="5">
        <v>3536</v>
      </c>
      <c r="H7" s="4">
        <v>3100</v>
      </c>
      <c r="I7" s="5">
        <v>3650</v>
      </c>
      <c r="J7" s="5">
        <f t="shared" si="2"/>
        <v>550</v>
      </c>
      <c r="K7" s="3">
        <v>10.968774176798146</v>
      </c>
      <c r="L7">
        <v>12.4</v>
      </c>
      <c r="M7" s="2">
        <v>-0.10618772236658917</v>
      </c>
      <c r="N7">
        <v>31</v>
      </c>
    </row>
    <row r="8" spans="1:15" x14ac:dyDescent="0.45">
      <c r="A8" t="s">
        <v>13</v>
      </c>
      <c r="B8">
        <v>7</v>
      </c>
      <c r="C8">
        <v>3</v>
      </c>
      <c r="D8" s="1">
        <v>97.465836363636356</v>
      </c>
      <c r="E8" s="1">
        <f t="shared" si="0"/>
        <v>75.801328328039276</v>
      </c>
      <c r="F8" s="1">
        <f t="shared" si="1"/>
        <v>88.795841755703137</v>
      </c>
      <c r="G8" s="5">
        <v>6926</v>
      </c>
      <c r="H8" s="4">
        <v>5250</v>
      </c>
      <c r="I8" s="5">
        <v>6150</v>
      </c>
      <c r="J8" s="5">
        <f t="shared" si="2"/>
        <v>900</v>
      </c>
      <c r="K8" s="3">
        <v>13.529382891818184</v>
      </c>
      <c r="L8">
        <v>14.5</v>
      </c>
      <c r="M8" s="2">
        <v>-6.5600328690908954E-2</v>
      </c>
      <c r="N8">
        <v>36</v>
      </c>
    </row>
    <row r="9" spans="1:15" x14ac:dyDescent="0.45">
      <c r="A9" t="s">
        <v>13</v>
      </c>
      <c r="B9">
        <v>8</v>
      </c>
      <c r="C9">
        <v>4.0999999999999996</v>
      </c>
      <c r="D9" s="1">
        <v>97.790836363636359</v>
      </c>
      <c r="E9" s="1">
        <f t="shared" si="0"/>
        <v>76.982294072363359</v>
      </c>
      <c r="F9" s="1">
        <f t="shared" si="1"/>
        <v>91.73723376956633</v>
      </c>
      <c r="G9" s="5">
        <v>7794</v>
      </c>
      <c r="H9" s="4">
        <v>6000</v>
      </c>
      <c r="I9" s="5">
        <v>7150</v>
      </c>
      <c r="J9" s="5">
        <f t="shared" si="2"/>
        <v>1150</v>
      </c>
      <c r="K9" s="3">
        <v>14.67212544</v>
      </c>
      <c r="L9">
        <v>14.5</v>
      </c>
      <c r="M9" s="2">
        <v>1.0683648000000101E-2</v>
      </c>
      <c r="N9">
        <v>22</v>
      </c>
    </row>
    <row r="10" spans="1:15" x14ac:dyDescent="0.45">
      <c r="A10" t="s">
        <v>13</v>
      </c>
      <c r="B10">
        <v>9</v>
      </c>
      <c r="C10">
        <v>4.5</v>
      </c>
      <c r="D10" s="1">
        <v>97.210836363636361</v>
      </c>
      <c r="E10" s="1">
        <f t="shared" si="0"/>
        <v>74.793980652096025</v>
      </c>
      <c r="F10" s="1">
        <f t="shared" si="1"/>
        <v>92.260838409172337</v>
      </c>
      <c r="G10" s="5">
        <v>11164</v>
      </c>
      <c r="H10" s="4">
        <v>8350</v>
      </c>
      <c r="I10" s="5">
        <v>10300</v>
      </c>
      <c r="J10" s="5">
        <f t="shared" si="2"/>
        <v>1950</v>
      </c>
      <c r="K10" s="3">
        <v>14.75538444</v>
      </c>
      <c r="L10">
        <v>14.5</v>
      </c>
      <c r="M10" s="2">
        <v>1.7964974400000028E-2</v>
      </c>
      <c r="N10">
        <v>32</v>
      </c>
    </row>
    <row r="11" spans="1:15" x14ac:dyDescent="0.45">
      <c r="A11" t="s">
        <v>9</v>
      </c>
      <c r="B11">
        <v>10</v>
      </c>
      <c r="C11">
        <v>1</v>
      </c>
      <c r="D11" s="1">
        <v>108.43470840480275</v>
      </c>
      <c r="E11" s="1">
        <f t="shared" si="0"/>
        <v>87.143663561953147</v>
      </c>
      <c r="F11" s="1">
        <f t="shared" si="1"/>
        <v>94.199830651989842</v>
      </c>
      <c r="G11" s="5">
        <v>14172</v>
      </c>
      <c r="H11" s="4">
        <v>12350</v>
      </c>
      <c r="I11" s="5">
        <v>13350</v>
      </c>
      <c r="J11" s="5">
        <f t="shared" si="2"/>
        <v>1000</v>
      </c>
      <c r="K11" s="3">
        <v>19.050158916380784</v>
      </c>
      <c r="L11">
        <v>21.9</v>
      </c>
      <c r="M11" s="2">
        <v>-0.13923881093482005</v>
      </c>
      <c r="N11">
        <v>49</v>
      </c>
    </row>
    <row r="12" spans="1:15" x14ac:dyDescent="0.45">
      <c r="A12" t="s">
        <v>13</v>
      </c>
      <c r="B12">
        <v>11</v>
      </c>
      <c r="C12">
        <v>3.1</v>
      </c>
      <c r="D12" s="1">
        <v>93.575836363636355</v>
      </c>
      <c r="E12" s="1">
        <f t="shared" si="0"/>
        <v>77.980710034886101</v>
      </c>
      <c r="F12" s="1">
        <f t="shared" si="1"/>
        <v>88.241329776318494</v>
      </c>
      <c r="G12" s="5">
        <v>4873</v>
      </c>
      <c r="H12" s="4">
        <v>3800</v>
      </c>
      <c r="I12" s="5">
        <v>4300</v>
      </c>
      <c r="J12" s="5">
        <f t="shared" si="2"/>
        <v>500</v>
      </c>
      <c r="K12" s="3">
        <v>15.431503727272728</v>
      </c>
      <c r="L12">
        <v>14.5</v>
      </c>
      <c r="M12" s="2">
        <v>6.8096134545454629E-2</v>
      </c>
      <c r="N12">
        <v>33</v>
      </c>
    </row>
    <row r="13" spans="1:15" x14ac:dyDescent="0.45">
      <c r="A13" t="s">
        <v>9</v>
      </c>
      <c r="B13">
        <v>12</v>
      </c>
      <c r="C13">
        <v>2.1</v>
      </c>
      <c r="D13" s="1">
        <v>110.54470840480275</v>
      </c>
      <c r="E13" s="1">
        <f t="shared" si="0"/>
        <v>89.06481939633845</v>
      </c>
      <c r="F13" s="1">
        <f t="shared" si="1"/>
        <v>95.966040782312035</v>
      </c>
      <c r="G13" s="5">
        <v>38399</v>
      </c>
      <c r="H13" s="4">
        <v>34200</v>
      </c>
      <c r="I13" s="5">
        <v>36850</v>
      </c>
      <c r="J13" s="5">
        <f t="shared" si="2"/>
        <v>2650</v>
      </c>
      <c r="K13" s="3">
        <v>21.549779745283018</v>
      </c>
      <c r="L13">
        <v>21.9</v>
      </c>
      <c r="M13" s="2">
        <v>-1.5991792452830111E-2</v>
      </c>
      <c r="N13">
        <v>41</v>
      </c>
    </row>
    <row r="14" spans="1:15" x14ac:dyDescent="0.45">
      <c r="A14" t="s">
        <v>12</v>
      </c>
      <c r="B14">
        <v>13</v>
      </c>
      <c r="C14">
        <v>3.5</v>
      </c>
      <c r="D14" s="1">
        <v>93.35049861495844</v>
      </c>
      <c r="E14" s="1">
        <f t="shared" si="0"/>
        <v>77.977315689981097</v>
      </c>
      <c r="F14" s="1">
        <f t="shared" si="1"/>
        <v>88.61058601134215</v>
      </c>
      <c r="G14" s="5">
        <v>4232</v>
      </c>
      <c r="H14" s="4">
        <v>3300</v>
      </c>
      <c r="I14" s="5">
        <v>3750</v>
      </c>
      <c r="J14" s="5">
        <f t="shared" si="2"/>
        <v>450</v>
      </c>
      <c r="K14" s="3">
        <v>7.8014110263157903</v>
      </c>
      <c r="L14">
        <v>7.7</v>
      </c>
      <c r="M14" s="2">
        <v>1.2248344736842083E-2</v>
      </c>
      <c r="N14">
        <v>27</v>
      </c>
    </row>
    <row r="15" spans="1:15" x14ac:dyDescent="0.45">
      <c r="A15" t="s">
        <v>9</v>
      </c>
      <c r="B15">
        <v>14</v>
      </c>
      <c r="C15">
        <v>2.6</v>
      </c>
      <c r="D15" s="1">
        <v>108.19970840480275</v>
      </c>
      <c r="E15" s="1">
        <f t="shared" si="0"/>
        <v>84.998138726889195</v>
      </c>
      <c r="F15" s="1">
        <f t="shared" si="1"/>
        <v>95.545353021466681</v>
      </c>
      <c r="G15" s="5">
        <v>16118</v>
      </c>
      <c r="H15" s="4">
        <v>13700</v>
      </c>
      <c r="I15" s="5">
        <v>15400</v>
      </c>
      <c r="J15" s="5">
        <f t="shared" si="2"/>
        <v>1700</v>
      </c>
      <c r="K15" s="3">
        <v>19.50113594356775</v>
      </c>
      <c r="L15">
        <v>21.9</v>
      </c>
      <c r="M15" s="2">
        <v>-0.10734642809605498</v>
      </c>
      <c r="N15">
        <v>45</v>
      </c>
    </row>
    <row r="16" spans="1:15" x14ac:dyDescent="0.45">
      <c r="A16" t="s">
        <v>11</v>
      </c>
      <c r="B16">
        <v>15</v>
      </c>
      <c r="C16">
        <v>3.1</v>
      </c>
      <c r="D16" s="1">
        <v>110.73402552204176</v>
      </c>
      <c r="E16" s="1">
        <f t="shared" si="0"/>
        <v>89.852967870756942</v>
      </c>
      <c r="F16" s="1">
        <f t="shared" si="1"/>
        <v>92.575785078961701</v>
      </c>
      <c r="G16" s="5">
        <v>11018</v>
      </c>
      <c r="H16" s="4">
        <v>9900</v>
      </c>
      <c r="I16" s="5">
        <v>10200</v>
      </c>
      <c r="J16" s="5">
        <f t="shared" si="2"/>
        <v>300</v>
      </c>
      <c r="K16" s="3">
        <v>10.958291026914152</v>
      </c>
      <c r="L16">
        <v>12.4</v>
      </c>
      <c r="M16" s="2">
        <v>-0.11626685266821357</v>
      </c>
      <c r="N16">
        <v>39</v>
      </c>
    </row>
    <row r="17" spans="1:14" x14ac:dyDescent="0.45">
      <c r="A17" t="s">
        <v>9</v>
      </c>
      <c r="B17">
        <v>16</v>
      </c>
      <c r="C17">
        <v>3.5</v>
      </c>
      <c r="D17" s="1">
        <v>109.65970840480276</v>
      </c>
      <c r="E17" s="1">
        <f t="shared" si="0"/>
        <v>87.071868303799192</v>
      </c>
      <c r="F17" s="1">
        <f t="shared" si="1"/>
        <v>93.704295772252649</v>
      </c>
      <c r="G17" s="5">
        <v>29401</v>
      </c>
      <c r="H17" s="4">
        <v>25600</v>
      </c>
      <c r="I17" s="5">
        <v>27550</v>
      </c>
      <c r="J17" s="5">
        <f t="shared" si="2"/>
        <v>1950</v>
      </c>
      <c r="K17" s="3">
        <v>20.773750052315606</v>
      </c>
      <c r="L17">
        <v>21.9</v>
      </c>
      <c r="M17" s="2">
        <v>-4.9884130102916008E-2</v>
      </c>
      <c r="N17">
        <v>42</v>
      </c>
    </row>
    <row r="18" spans="1:14" x14ac:dyDescent="0.45">
      <c r="A18" t="s">
        <v>13</v>
      </c>
      <c r="B18">
        <v>17</v>
      </c>
      <c r="C18">
        <v>3.7</v>
      </c>
      <c r="D18" s="1">
        <v>93.040836363636359</v>
      </c>
      <c r="E18" s="1">
        <f t="shared" si="0"/>
        <v>77.30607966457022</v>
      </c>
      <c r="F18" s="1">
        <f t="shared" si="1"/>
        <v>91.719077568134182</v>
      </c>
      <c r="G18" s="5">
        <v>3816</v>
      </c>
      <c r="H18" s="4">
        <v>2950</v>
      </c>
      <c r="I18" s="5">
        <v>3500</v>
      </c>
      <c r="J18" s="5">
        <f t="shared" si="2"/>
        <v>550</v>
      </c>
      <c r="K18" s="3">
        <v>15.974351089090911</v>
      </c>
      <c r="L18">
        <v>14.5</v>
      </c>
      <c r="M18" s="2">
        <v>9.3545034618182032E-2</v>
      </c>
      <c r="N18">
        <v>29</v>
      </c>
    </row>
    <row r="19" spans="1:14" x14ac:dyDescent="0.45">
      <c r="A19" t="s">
        <v>10</v>
      </c>
      <c r="B19">
        <v>18</v>
      </c>
      <c r="C19">
        <v>3.2</v>
      </c>
      <c r="D19" s="1">
        <v>97.181359011627904</v>
      </c>
      <c r="E19" s="1">
        <f t="shared" si="0"/>
        <v>80.041077685151635</v>
      </c>
      <c r="F19" s="1">
        <f t="shared" si="1"/>
        <v>91.216624380814309</v>
      </c>
      <c r="G19" s="5">
        <v>16554</v>
      </c>
      <c r="H19" s="4">
        <v>13250</v>
      </c>
      <c r="I19" s="5">
        <v>15100</v>
      </c>
      <c r="J19" s="5">
        <f t="shared" si="2"/>
        <v>1850</v>
      </c>
      <c r="K19" s="3">
        <v>20.925649813953491</v>
      </c>
      <c r="L19">
        <v>19.2</v>
      </c>
      <c r="M19" s="2">
        <v>8.268738691860493E-2</v>
      </c>
      <c r="N19">
        <v>24</v>
      </c>
    </row>
    <row r="20" spans="1:14" x14ac:dyDescent="0.45">
      <c r="A20" t="s">
        <v>10</v>
      </c>
      <c r="B20">
        <v>19</v>
      </c>
      <c r="C20">
        <v>3</v>
      </c>
      <c r="D20" s="1">
        <v>97.721359011627911</v>
      </c>
      <c r="E20" s="1">
        <f t="shared" si="0"/>
        <v>83.905415713196035</v>
      </c>
      <c r="F20" s="1">
        <f t="shared" si="1"/>
        <v>90.860142684075925</v>
      </c>
      <c r="G20" s="5">
        <v>22287</v>
      </c>
      <c r="H20" s="4">
        <v>18700</v>
      </c>
      <c r="I20" s="5">
        <v>20250</v>
      </c>
      <c r="J20" s="5">
        <f t="shared" si="2"/>
        <v>1550</v>
      </c>
      <c r="K20" s="3">
        <v>21.208498995348837</v>
      </c>
      <c r="L20">
        <v>19.2</v>
      </c>
      <c r="M20" s="2">
        <v>0.10670150912790707</v>
      </c>
      <c r="N20">
        <v>34</v>
      </c>
    </row>
    <row r="21" spans="1:14" x14ac:dyDescent="0.45">
      <c r="A21" t="s">
        <v>11</v>
      </c>
      <c r="B21">
        <v>20</v>
      </c>
      <c r="C21">
        <v>1</v>
      </c>
      <c r="D21" s="1">
        <v>105.38402552204177</v>
      </c>
      <c r="E21" s="1">
        <f t="shared" si="0"/>
        <v>86.948026572880039</v>
      </c>
      <c r="F21" s="1">
        <f t="shared" si="1"/>
        <v>94.763579523251281</v>
      </c>
      <c r="G21" s="5">
        <v>10236</v>
      </c>
      <c r="H21" s="4">
        <v>8900</v>
      </c>
      <c r="I21" s="5">
        <v>9700</v>
      </c>
      <c r="J21" s="5">
        <f t="shared" si="2"/>
        <v>800</v>
      </c>
      <c r="K21" s="3">
        <v>11.380409410208816</v>
      </c>
      <c r="L21">
        <v>12.4</v>
      </c>
      <c r="M21" s="2">
        <v>-8.5514049466357323E-2</v>
      </c>
      <c r="N21">
        <v>39</v>
      </c>
    </row>
    <row r="22" spans="1:14" x14ac:dyDescent="0.45">
      <c r="A22" t="s">
        <v>10</v>
      </c>
      <c r="B22">
        <v>21</v>
      </c>
      <c r="C22">
        <v>1.7</v>
      </c>
      <c r="D22" s="1">
        <v>98.391359011627898</v>
      </c>
      <c r="E22" s="1">
        <f t="shared" si="0"/>
        <v>81.002833559196745</v>
      </c>
      <c r="F22" s="1">
        <f t="shared" si="1"/>
        <v>90.858691634840454</v>
      </c>
      <c r="G22" s="5">
        <v>16234</v>
      </c>
      <c r="H22" s="4">
        <v>13150</v>
      </c>
      <c r="I22" s="5">
        <v>14750</v>
      </c>
      <c r="J22" s="5">
        <f t="shared" si="2"/>
        <v>1600</v>
      </c>
      <c r="K22" s="3">
        <v>18.923593297674419</v>
      </c>
      <c r="L22">
        <v>19.2</v>
      </c>
      <c r="M22" s="2">
        <v>-1.5547877005813865E-2</v>
      </c>
      <c r="N22">
        <v>35</v>
      </c>
    </row>
    <row r="23" spans="1:14" x14ac:dyDescent="0.45">
      <c r="A23" t="s">
        <v>9</v>
      </c>
      <c r="B23">
        <v>22</v>
      </c>
      <c r="C23">
        <v>2.9</v>
      </c>
      <c r="D23" s="1">
        <v>104.87470840480276</v>
      </c>
      <c r="E23" s="1">
        <f t="shared" si="0"/>
        <v>89.046769466037972</v>
      </c>
      <c r="F23" s="1">
        <f t="shared" si="1"/>
        <v>98.763858799541225</v>
      </c>
      <c r="G23" s="5">
        <v>31388</v>
      </c>
      <c r="H23" s="4">
        <v>27950</v>
      </c>
      <c r="I23" s="5">
        <v>31000</v>
      </c>
      <c r="J23" s="5">
        <f t="shared" si="2"/>
        <v>3050</v>
      </c>
      <c r="K23" s="3">
        <v>21.249087636535155</v>
      </c>
      <c r="L23">
        <v>21.9</v>
      </c>
      <c r="M23" s="2">
        <v>-2.7938704185248998E-2</v>
      </c>
      <c r="N23">
        <v>29</v>
      </c>
    </row>
    <row r="24" spans="1:14" x14ac:dyDescent="0.45">
      <c r="A24" t="s">
        <v>11</v>
      </c>
      <c r="B24">
        <v>23</v>
      </c>
      <c r="C24">
        <v>2.1</v>
      </c>
      <c r="D24" s="1">
        <v>108.32902552204177</v>
      </c>
      <c r="E24" s="1">
        <f t="shared" si="0"/>
        <v>89.080459770114942</v>
      </c>
      <c r="F24" s="1">
        <f t="shared" si="1"/>
        <v>98.223615464994779</v>
      </c>
      <c r="G24" s="5">
        <v>19140</v>
      </c>
      <c r="H24" s="4">
        <v>17050</v>
      </c>
      <c r="I24" s="5">
        <v>18800</v>
      </c>
      <c r="J24" s="5">
        <f t="shared" si="2"/>
        <v>1750</v>
      </c>
      <c r="K24" s="3">
        <v>10.457824768445475</v>
      </c>
      <c r="L24">
        <v>12.4</v>
      </c>
      <c r="M24" s="2">
        <v>-0.1503619534106729</v>
      </c>
      <c r="N24">
        <v>41</v>
      </c>
    </row>
    <row r="25" spans="1:14" x14ac:dyDescent="0.45">
      <c r="A25" t="s">
        <v>13</v>
      </c>
      <c r="B25">
        <v>24</v>
      </c>
      <c r="C25">
        <v>3.1</v>
      </c>
      <c r="D25" s="1">
        <v>95.090836363636356</v>
      </c>
      <c r="E25" s="1">
        <f t="shared" si="0"/>
        <v>78.938084318221911</v>
      </c>
      <c r="F25" s="1">
        <f t="shared" si="1"/>
        <v>90.8449461986241</v>
      </c>
      <c r="G25" s="5">
        <v>11338</v>
      </c>
      <c r="H25" s="4">
        <v>8950</v>
      </c>
      <c r="I25" s="5">
        <v>10300</v>
      </c>
      <c r="J25" s="5">
        <f t="shared" si="2"/>
        <v>1350</v>
      </c>
      <c r="K25" s="3">
        <v>15.66818358909091</v>
      </c>
      <c r="L25">
        <v>14.5</v>
      </c>
      <c r="M25" s="2">
        <v>7.4119234618181845E-2</v>
      </c>
      <c r="N25">
        <v>26</v>
      </c>
    </row>
    <row r="26" spans="1:14" x14ac:dyDescent="0.45">
      <c r="A26" t="s">
        <v>13</v>
      </c>
      <c r="B26">
        <v>25</v>
      </c>
      <c r="C26">
        <v>3.7</v>
      </c>
      <c r="D26" s="1">
        <v>91.19583636363636</v>
      </c>
      <c r="E26" s="1">
        <f t="shared" si="0"/>
        <v>76.234438382990632</v>
      </c>
      <c r="F26" s="1">
        <f t="shared" si="1"/>
        <v>87.424814659392922</v>
      </c>
      <c r="G26" s="5">
        <v>7149</v>
      </c>
      <c r="H26" s="4">
        <v>5450</v>
      </c>
      <c r="I26" s="5">
        <v>6250</v>
      </c>
      <c r="J26" s="5">
        <f t="shared" si="2"/>
        <v>800</v>
      </c>
      <c r="K26" s="3">
        <v>14.514475429090911</v>
      </c>
      <c r="L26">
        <v>14.5</v>
      </c>
      <c r="M26" s="2">
        <v>9.883224000002543E-4</v>
      </c>
      <c r="N26">
        <v>23</v>
      </c>
    </row>
    <row r="27" spans="1:14" x14ac:dyDescent="0.45">
      <c r="A27" t="s">
        <v>13</v>
      </c>
      <c r="B27">
        <v>26</v>
      </c>
      <c r="C27">
        <v>3</v>
      </c>
      <c r="D27" s="1">
        <v>91.960836363636361</v>
      </c>
      <c r="E27" s="1">
        <f t="shared" si="0"/>
        <v>74.882713821725005</v>
      </c>
      <c r="F27" s="1">
        <f t="shared" si="1"/>
        <v>85.709130277878018</v>
      </c>
      <c r="G27" s="5">
        <v>5542</v>
      </c>
      <c r="H27" s="4">
        <v>4150</v>
      </c>
      <c r="I27" s="5">
        <v>4750</v>
      </c>
      <c r="J27" s="5">
        <f t="shared" si="2"/>
        <v>600</v>
      </c>
      <c r="K27" s="3">
        <v>15.822335514545454</v>
      </c>
      <c r="L27">
        <v>14.5</v>
      </c>
      <c r="M27" s="2">
        <v>8.2075997454545482E-2</v>
      </c>
      <c r="N27">
        <v>27</v>
      </c>
    </row>
    <row r="28" spans="1:14" x14ac:dyDescent="0.45">
      <c r="A28" t="s">
        <v>13</v>
      </c>
      <c r="B28">
        <v>27</v>
      </c>
      <c r="C28">
        <v>3.4</v>
      </c>
      <c r="D28" s="1">
        <v>92.340836363636356</v>
      </c>
      <c r="E28" s="1">
        <f t="shared" si="0"/>
        <v>72.744907856450041</v>
      </c>
      <c r="F28" s="1">
        <f t="shared" si="1"/>
        <v>87.293889427740055</v>
      </c>
      <c r="G28" s="5">
        <v>1031</v>
      </c>
      <c r="H28" s="4">
        <v>750</v>
      </c>
      <c r="I28" s="5">
        <v>900</v>
      </c>
      <c r="J28" s="5">
        <f t="shared" si="2"/>
        <v>150</v>
      </c>
      <c r="K28" s="3">
        <v>16.391107663636369</v>
      </c>
      <c r="L28">
        <v>14.5</v>
      </c>
      <c r="M28" s="2">
        <v>0.13955070345454582</v>
      </c>
      <c r="N28">
        <v>25</v>
      </c>
    </row>
    <row r="29" spans="1:14" x14ac:dyDescent="0.45">
      <c r="A29" t="s">
        <v>13</v>
      </c>
      <c r="B29">
        <v>28</v>
      </c>
      <c r="C29">
        <v>3.2</v>
      </c>
      <c r="D29" s="1">
        <v>94.500836363636353</v>
      </c>
      <c r="E29" s="1">
        <f t="shared" si="0"/>
        <v>78.897933625547907</v>
      </c>
      <c r="F29" s="1">
        <f t="shared" si="1"/>
        <v>88.290544771446463</v>
      </c>
      <c r="G29" s="5">
        <v>7985</v>
      </c>
      <c r="H29" s="4">
        <v>6300</v>
      </c>
      <c r="I29" s="5">
        <v>7050</v>
      </c>
      <c r="J29" s="5">
        <f t="shared" si="2"/>
        <v>750</v>
      </c>
      <c r="K29" s="3">
        <v>13.767640854545457</v>
      </c>
      <c r="L29">
        <v>14.5</v>
      </c>
      <c r="M29" s="2">
        <v>-4.6972000363636218E-2</v>
      </c>
      <c r="N29">
        <v>29</v>
      </c>
    </row>
    <row r="30" spans="1:14" x14ac:dyDescent="0.45">
      <c r="A30" t="s">
        <v>9</v>
      </c>
      <c r="B30">
        <v>29</v>
      </c>
      <c r="C30">
        <v>2.5</v>
      </c>
      <c r="D30" s="1">
        <v>110.80470840480275</v>
      </c>
      <c r="E30" s="1">
        <f t="shared" si="0"/>
        <v>86.962207401595393</v>
      </c>
      <c r="F30" s="1">
        <f t="shared" si="1"/>
        <v>98.731528704066946</v>
      </c>
      <c r="G30" s="5">
        <v>15294</v>
      </c>
      <c r="H30" s="4">
        <v>13300</v>
      </c>
      <c r="I30" s="5">
        <v>15100</v>
      </c>
      <c r="J30" s="5">
        <f t="shared" si="2"/>
        <v>1800</v>
      </c>
      <c r="K30" s="3">
        <v>18.947755793567751</v>
      </c>
      <c r="L30">
        <v>21.9</v>
      </c>
      <c r="M30" s="2">
        <v>-0.1442420685334477</v>
      </c>
      <c r="N30">
        <v>32</v>
      </c>
    </row>
    <row r="31" spans="1:14" x14ac:dyDescent="0.45">
      <c r="A31" t="s">
        <v>9</v>
      </c>
      <c r="B31">
        <v>30</v>
      </c>
      <c r="C31">
        <v>2.4</v>
      </c>
      <c r="D31" s="1">
        <v>114.19970840480275</v>
      </c>
      <c r="E31" s="1">
        <f t="shared" si="0"/>
        <v>88.004962394355275</v>
      </c>
      <c r="F31" s="1">
        <f t="shared" si="1"/>
        <v>89.555710630379153</v>
      </c>
      <c r="G31" s="5">
        <v>12897</v>
      </c>
      <c r="H31" s="4">
        <v>11350</v>
      </c>
      <c r="I31" s="5">
        <v>11550</v>
      </c>
      <c r="J31" s="5">
        <f t="shared" si="2"/>
        <v>200</v>
      </c>
      <c r="K31" s="3">
        <v>19.16606913653516</v>
      </c>
      <c r="L31">
        <v>21.9</v>
      </c>
      <c r="M31" s="2">
        <v>-0.1198435446998285</v>
      </c>
      <c r="N31">
        <v>47</v>
      </c>
    </row>
    <row r="32" spans="1:14" x14ac:dyDescent="0.45">
      <c r="A32" t="s">
        <v>13</v>
      </c>
      <c r="B32">
        <v>31</v>
      </c>
      <c r="C32">
        <v>3</v>
      </c>
      <c r="D32" s="1">
        <v>94.830836363636365</v>
      </c>
      <c r="E32" s="1">
        <f t="shared" si="0"/>
        <v>74.883209672987078</v>
      </c>
      <c r="F32" s="1">
        <f t="shared" si="1"/>
        <v>92.745259686727124</v>
      </c>
      <c r="G32" s="5">
        <v>7278</v>
      </c>
      <c r="H32" s="4">
        <v>5450</v>
      </c>
      <c r="I32" s="5">
        <v>6750</v>
      </c>
      <c r="J32" s="5">
        <f t="shared" si="2"/>
        <v>1300</v>
      </c>
      <c r="K32" s="3">
        <v>16.012005163636367</v>
      </c>
      <c r="L32">
        <v>14.5</v>
      </c>
      <c r="M32" s="2">
        <v>0.11053279127272754</v>
      </c>
      <c r="N32">
        <v>27</v>
      </c>
    </row>
    <row r="33" spans="1:14" x14ac:dyDescent="0.45">
      <c r="A33" t="s">
        <v>13</v>
      </c>
      <c r="B33">
        <v>32</v>
      </c>
      <c r="C33">
        <v>4.0999999999999996</v>
      </c>
      <c r="D33" s="1">
        <v>95.775836363636358</v>
      </c>
      <c r="E33" s="1">
        <f t="shared" si="0"/>
        <v>77.431109086768387</v>
      </c>
      <c r="F33" s="1">
        <f t="shared" si="1"/>
        <v>85.40195855158278</v>
      </c>
      <c r="G33" s="5">
        <v>4391</v>
      </c>
      <c r="H33" s="4">
        <v>3400</v>
      </c>
      <c r="I33" s="5">
        <v>3750</v>
      </c>
      <c r="J33" s="5">
        <f t="shared" si="2"/>
        <v>350</v>
      </c>
      <c r="K33" s="3">
        <v>14.961378690000002</v>
      </c>
      <c r="L33">
        <v>14.5</v>
      </c>
      <c r="M33" s="2">
        <v>2.9591874600000036E-2</v>
      </c>
      <c r="N33">
        <v>25</v>
      </c>
    </row>
    <row r="34" spans="1:14" x14ac:dyDescent="0.45">
      <c r="A34" t="s">
        <v>11</v>
      </c>
      <c r="B34">
        <v>33</v>
      </c>
      <c r="C34">
        <v>1.2</v>
      </c>
      <c r="D34" s="1">
        <v>102.22902552204177</v>
      </c>
      <c r="E34" s="1">
        <f t="shared" ref="E34:E65" si="3">H34/G34*100</f>
        <v>89.165867689357626</v>
      </c>
      <c r="F34" s="1">
        <f t="shared" ref="F34:F65" si="4">I34/G34*100</f>
        <v>101.62991371045062</v>
      </c>
      <c r="G34" s="5">
        <v>10430</v>
      </c>
      <c r="H34" s="4">
        <v>9300</v>
      </c>
      <c r="I34" s="5">
        <v>10600</v>
      </c>
      <c r="J34" s="5">
        <f t="shared" si="2"/>
        <v>1300</v>
      </c>
      <c r="K34" s="3">
        <v>12.729780877030164</v>
      </c>
      <c r="L34">
        <v>12.4</v>
      </c>
      <c r="M34" s="2">
        <v>2.4201661136891074E-2</v>
      </c>
      <c r="N34">
        <v>31</v>
      </c>
    </row>
    <row r="35" spans="1:14" x14ac:dyDescent="0.45">
      <c r="A35" t="s">
        <v>10</v>
      </c>
      <c r="B35">
        <v>34</v>
      </c>
      <c r="C35">
        <v>2.6</v>
      </c>
      <c r="D35" s="1">
        <v>99.051359011627909</v>
      </c>
      <c r="E35" s="1">
        <f t="shared" si="3"/>
        <v>82.112970711297066</v>
      </c>
      <c r="F35" s="1">
        <f t="shared" si="4"/>
        <v>90.48117154811716</v>
      </c>
      <c r="G35" s="5">
        <v>19120</v>
      </c>
      <c r="H35" s="4">
        <v>15700</v>
      </c>
      <c r="I35" s="5">
        <v>17300</v>
      </c>
      <c r="J35" s="5">
        <f t="shared" si="2"/>
        <v>1600</v>
      </c>
      <c r="K35" s="3">
        <v>18.02538933488372</v>
      </c>
      <c r="L35">
        <v>19.2</v>
      </c>
      <c r="M35" s="2">
        <v>-5.8118756867732553E-2</v>
      </c>
      <c r="N35">
        <v>30</v>
      </c>
    </row>
    <row r="36" spans="1:14" x14ac:dyDescent="0.45">
      <c r="A36" t="s">
        <v>13</v>
      </c>
      <c r="B36">
        <v>35</v>
      </c>
      <c r="C36">
        <v>4</v>
      </c>
      <c r="D36" s="1">
        <v>90.680836363636359</v>
      </c>
      <c r="E36" s="1">
        <f t="shared" si="3"/>
        <v>76.091309571485795</v>
      </c>
      <c r="F36" s="1">
        <f t="shared" si="4"/>
        <v>90.108129755706841</v>
      </c>
      <c r="G36" s="5">
        <v>4994</v>
      </c>
      <c r="H36" s="4">
        <v>3800</v>
      </c>
      <c r="I36" s="5">
        <v>4500</v>
      </c>
      <c r="J36" s="5">
        <f t="shared" si="2"/>
        <v>700</v>
      </c>
      <c r="K36" s="3">
        <v>14.266150854545456</v>
      </c>
      <c r="L36">
        <v>14.5</v>
      </c>
      <c r="M36" s="2">
        <v>-1.5804976727272605E-2</v>
      </c>
      <c r="N36">
        <v>25</v>
      </c>
    </row>
    <row r="37" spans="1:14" x14ac:dyDescent="0.45">
      <c r="A37" t="s">
        <v>10</v>
      </c>
      <c r="B37">
        <v>36</v>
      </c>
      <c r="C37">
        <v>2.4</v>
      </c>
      <c r="D37" s="1">
        <v>97.661359011627908</v>
      </c>
      <c r="E37" s="1">
        <f t="shared" si="3"/>
        <v>80.067936430911075</v>
      </c>
      <c r="F37" s="1">
        <f t="shared" si="4"/>
        <v>90.581907881434759</v>
      </c>
      <c r="G37" s="5">
        <v>24729</v>
      </c>
      <c r="H37" s="4">
        <v>19800</v>
      </c>
      <c r="I37" s="5">
        <v>22400</v>
      </c>
      <c r="J37" s="5">
        <f t="shared" si="2"/>
        <v>2600</v>
      </c>
      <c r="K37" s="3">
        <v>21.613920976744186</v>
      </c>
      <c r="L37">
        <v>19.2</v>
      </c>
      <c r="M37" s="2">
        <v>0.12949680239825587</v>
      </c>
      <c r="N37">
        <v>37</v>
      </c>
    </row>
    <row r="38" spans="1:14" x14ac:dyDescent="0.45">
      <c r="A38" t="s">
        <v>12</v>
      </c>
      <c r="B38">
        <v>37</v>
      </c>
      <c r="C38">
        <v>3.4</v>
      </c>
      <c r="D38" s="1">
        <v>95.455498614958444</v>
      </c>
      <c r="E38" s="1">
        <f t="shared" si="3"/>
        <v>76.076076076076077</v>
      </c>
      <c r="F38" s="1">
        <f t="shared" si="4"/>
        <v>88.088088088088085</v>
      </c>
      <c r="G38" s="5">
        <v>4995</v>
      </c>
      <c r="H38" s="4">
        <v>3800</v>
      </c>
      <c r="I38" s="5">
        <v>4400</v>
      </c>
      <c r="J38" s="5">
        <f t="shared" si="2"/>
        <v>600</v>
      </c>
      <c r="K38" s="3">
        <v>8.1304258727146834</v>
      </c>
      <c r="L38">
        <v>7.7</v>
      </c>
      <c r="M38" s="2">
        <v>5.1427506869806287E-2</v>
      </c>
      <c r="N38">
        <v>30</v>
      </c>
    </row>
    <row r="39" spans="1:14" x14ac:dyDescent="0.45">
      <c r="A39" t="s">
        <v>13</v>
      </c>
      <c r="B39">
        <v>38</v>
      </c>
      <c r="C39">
        <v>5</v>
      </c>
      <c r="D39" s="1">
        <v>90.905836363636354</v>
      </c>
      <c r="E39" s="1">
        <f t="shared" si="3"/>
        <v>77.917478307065707</v>
      </c>
      <c r="F39" s="1">
        <f t="shared" si="4"/>
        <v>89.428014875154943</v>
      </c>
      <c r="G39" s="5">
        <v>5647</v>
      </c>
      <c r="H39" s="4">
        <v>4400</v>
      </c>
      <c r="I39" s="5">
        <v>5050</v>
      </c>
      <c r="J39" s="5">
        <f t="shared" si="2"/>
        <v>650</v>
      </c>
      <c r="K39" s="3">
        <v>17.4005191</v>
      </c>
      <c r="L39">
        <v>14.5</v>
      </c>
      <c r="M39" s="2">
        <v>0.19803544199999998</v>
      </c>
      <c r="N39">
        <v>19</v>
      </c>
    </row>
    <row r="40" spans="1:14" x14ac:dyDescent="0.45">
      <c r="A40" t="s">
        <v>9</v>
      </c>
      <c r="B40">
        <v>39</v>
      </c>
      <c r="C40">
        <v>2.7</v>
      </c>
      <c r="D40" s="1">
        <v>107.95970840480275</v>
      </c>
      <c r="E40" s="1">
        <f t="shared" si="3"/>
        <v>88.015875932527294</v>
      </c>
      <c r="F40" s="1">
        <f t="shared" si="4"/>
        <v>93.528352504501854</v>
      </c>
      <c r="G40" s="5">
        <v>27211</v>
      </c>
      <c r="H40" s="4">
        <v>23950</v>
      </c>
      <c r="I40" s="5">
        <v>25450</v>
      </c>
      <c r="J40" s="5">
        <f t="shared" si="2"/>
        <v>1500</v>
      </c>
      <c r="K40" s="3">
        <v>20.156823859348194</v>
      </c>
      <c r="L40">
        <v>21.9</v>
      </c>
      <c r="M40" s="2">
        <v>-8.2780967409948794E-2</v>
      </c>
      <c r="N40">
        <v>44</v>
      </c>
    </row>
    <row r="41" spans="1:14" x14ac:dyDescent="0.45">
      <c r="A41" t="s">
        <v>12</v>
      </c>
      <c r="B41">
        <v>40</v>
      </c>
      <c r="C41">
        <v>3.5</v>
      </c>
      <c r="D41" s="1">
        <v>88.205498614958444</v>
      </c>
      <c r="E41" s="1">
        <f t="shared" si="3"/>
        <v>77.388963660834449</v>
      </c>
      <c r="F41" s="1">
        <f t="shared" si="4"/>
        <v>85.800807537012119</v>
      </c>
      <c r="G41" s="5">
        <v>2972</v>
      </c>
      <c r="H41" s="4">
        <v>2300</v>
      </c>
      <c r="I41" s="5">
        <v>2550</v>
      </c>
      <c r="J41" s="5">
        <f t="shared" si="2"/>
        <v>250</v>
      </c>
      <c r="K41" s="3">
        <v>8.522094840581719</v>
      </c>
      <c r="L41">
        <v>7.7</v>
      </c>
      <c r="M41" s="2">
        <v>0.11103618626038807</v>
      </c>
      <c r="N41">
        <v>21</v>
      </c>
    </row>
    <row r="42" spans="1:14" x14ac:dyDescent="0.45">
      <c r="A42" t="s">
        <v>11</v>
      </c>
      <c r="B42">
        <v>41</v>
      </c>
      <c r="C42">
        <v>1.5</v>
      </c>
      <c r="D42" s="1">
        <v>104.80402552204177</v>
      </c>
      <c r="E42" s="1">
        <f t="shared" si="3"/>
        <v>88.896160558464217</v>
      </c>
      <c r="F42" s="1">
        <f t="shared" si="4"/>
        <v>99.258289703315882</v>
      </c>
      <c r="G42" s="5">
        <v>9168</v>
      </c>
      <c r="H42" s="4">
        <v>8150</v>
      </c>
      <c r="I42" s="5">
        <v>9100</v>
      </c>
      <c r="J42" s="5">
        <f t="shared" si="2"/>
        <v>950</v>
      </c>
      <c r="K42" s="3">
        <v>10.977999776798145</v>
      </c>
      <c r="L42">
        <v>12.4</v>
      </c>
      <c r="M42" s="2">
        <v>-0.1123838886078886</v>
      </c>
      <c r="N42">
        <v>32</v>
      </c>
    </row>
    <row r="43" spans="1:14" x14ac:dyDescent="0.45">
      <c r="A43" t="s">
        <v>10</v>
      </c>
      <c r="B43">
        <v>42</v>
      </c>
      <c r="C43">
        <v>3.9</v>
      </c>
      <c r="D43" s="1">
        <v>96.136359011627903</v>
      </c>
      <c r="E43" s="1">
        <f t="shared" si="3"/>
        <v>83.040562120728197</v>
      </c>
      <c r="F43" s="1">
        <f t="shared" si="4"/>
        <v>97.679122750984774</v>
      </c>
      <c r="G43" s="5">
        <v>18786</v>
      </c>
      <c r="H43" s="4">
        <v>15600</v>
      </c>
      <c r="I43" s="5">
        <v>18350</v>
      </c>
      <c r="J43" s="5">
        <f t="shared" si="2"/>
        <v>2750</v>
      </c>
      <c r="K43" s="3">
        <v>18.34647354418605</v>
      </c>
      <c r="L43">
        <v>19.2</v>
      </c>
      <c r="M43" s="2">
        <v>-4.1342687703488146E-2</v>
      </c>
      <c r="N43">
        <v>33</v>
      </c>
    </row>
    <row r="44" spans="1:14" x14ac:dyDescent="0.45">
      <c r="A44" t="s">
        <v>13</v>
      </c>
      <c r="B44">
        <v>43</v>
      </c>
      <c r="C44">
        <v>4.9000000000000004</v>
      </c>
      <c r="D44" s="1">
        <v>88.780836363636354</v>
      </c>
      <c r="E44" s="1">
        <f t="shared" si="3"/>
        <v>78.178576326978472</v>
      </c>
      <c r="F44" s="1">
        <f t="shared" si="4"/>
        <v>91.208339048141539</v>
      </c>
      <c r="G44" s="5">
        <v>7291</v>
      </c>
      <c r="H44" s="4">
        <v>5700</v>
      </c>
      <c r="I44" s="5">
        <v>6650</v>
      </c>
      <c r="J44" s="5">
        <f t="shared" si="2"/>
        <v>950</v>
      </c>
      <c r="K44" s="3">
        <v>17.7394566</v>
      </c>
      <c r="L44">
        <v>14.5</v>
      </c>
      <c r="M44" s="2">
        <v>0.21894258400000013</v>
      </c>
      <c r="N44">
        <v>24</v>
      </c>
    </row>
    <row r="45" spans="1:14" x14ac:dyDescent="0.45">
      <c r="A45" t="s">
        <v>10</v>
      </c>
      <c r="B45">
        <v>44</v>
      </c>
      <c r="C45">
        <v>2.2000000000000002</v>
      </c>
      <c r="D45" s="1">
        <v>95.666359011627904</v>
      </c>
      <c r="E45" s="1">
        <f t="shared" si="3"/>
        <v>83.110130770442723</v>
      </c>
      <c r="F45" s="1">
        <f t="shared" si="4"/>
        <v>94.532850165432492</v>
      </c>
      <c r="G45" s="5">
        <v>12694</v>
      </c>
      <c r="H45" s="4">
        <v>10550</v>
      </c>
      <c r="I45" s="5">
        <v>12000</v>
      </c>
      <c r="J45" s="5">
        <f t="shared" si="2"/>
        <v>1450</v>
      </c>
      <c r="K45" s="3">
        <v>20.232379660465117</v>
      </c>
      <c r="L45">
        <v>19.2</v>
      </c>
      <c r="M45" s="2">
        <v>5.699596042151172E-2</v>
      </c>
      <c r="N45">
        <v>32</v>
      </c>
    </row>
    <row r="46" spans="1:14" x14ac:dyDescent="0.45">
      <c r="A46" t="s">
        <v>10</v>
      </c>
      <c r="B46">
        <v>45</v>
      </c>
      <c r="C46">
        <v>2.7</v>
      </c>
      <c r="D46" s="1">
        <v>98.8113590116279</v>
      </c>
      <c r="E46" s="1">
        <f t="shared" si="3"/>
        <v>82.050537322102812</v>
      </c>
      <c r="F46" s="1">
        <f t="shared" si="4"/>
        <v>95.846645367412137</v>
      </c>
      <c r="G46" s="5">
        <v>20658</v>
      </c>
      <c r="H46" s="4">
        <v>16950</v>
      </c>
      <c r="I46" s="5">
        <v>19800</v>
      </c>
      <c r="J46" s="5">
        <f t="shared" si="2"/>
        <v>2850</v>
      </c>
      <c r="K46" s="3">
        <v>20.788194404651165</v>
      </c>
      <c r="L46">
        <v>19.2</v>
      </c>
      <c r="M46" s="2">
        <v>8.1891273989825764E-2</v>
      </c>
      <c r="N46">
        <v>36</v>
      </c>
    </row>
    <row r="47" spans="1:14" x14ac:dyDescent="0.45">
      <c r="A47" t="s">
        <v>9</v>
      </c>
      <c r="B47">
        <v>46</v>
      </c>
      <c r="C47">
        <v>2.8</v>
      </c>
      <c r="D47" s="1">
        <v>109.55470840480275</v>
      </c>
      <c r="E47" s="1">
        <f t="shared" si="3"/>
        <v>87.108013937282223</v>
      </c>
      <c r="F47" s="1">
        <f t="shared" si="4"/>
        <v>93.578894972623189</v>
      </c>
      <c r="G47" s="5">
        <v>10045</v>
      </c>
      <c r="H47" s="4">
        <v>8750</v>
      </c>
      <c r="I47" s="5">
        <v>9400</v>
      </c>
      <c r="J47" s="5">
        <f t="shared" si="2"/>
        <v>650</v>
      </c>
      <c r="K47" s="3">
        <v>19.609443670754715</v>
      </c>
      <c r="L47">
        <v>21.9</v>
      </c>
      <c r="M47" s="2">
        <v>-0.10563752933962264</v>
      </c>
      <c r="N47">
        <v>43</v>
      </c>
    </row>
    <row r="48" spans="1:14" x14ac:dyDescent="0.45">
      <c r="A48" t="s">
        <v>9</v>
      </c>
      <c r="B48">
        <v>47</v>
      </c>
      <c r="C48">
        <v>1.4</v>
      </c>
      <c r="D48" s="1">
        <v>106.38470840480275</v>
      </c>
      <c r="E48" s="1">
        <f t="shared" si="3"/>
        <v>89.960537756671798</v>
      </c>
      <c r="F48" s="1">
        <f t="shared" si="4"/>
        <v>94.976924620426729</v>
      </c>
      <c r="G48" s="5">
        <v>14951</v>
      </c>
      <c r="H48" s="4">
        <v>13450</v>
      </c>
      <c r="I48" s="5">
        <v>14200</v>
      </c>
      <c r="J48" s="5">
        <f t="shared" si="2"/>
        <v>750</v>
      </c>
      <c r="K48" s="3">
        <v>22.346906256689532</v>
      </c>
      <c r="L48">
        <v>21.9</v>
      </c>
      <c r="M48" s="2">
        <v>2.0814811955402978E-2</v>
      </c>
      <c r="N48">
        <v>46</v>
      </c>
    </row>
    <row r="49" spans="1:14" x14ac:dyDescent="0.45">
      <c r="A49" t="s">
        <v>10</v>
      </c>
      <c r="B49">
        <v>48</v>
      </c>
      <c r="C49">
        <v>4.7</v>
      </c>
      <c r="D49" s="1">
        <v>102.36135901162791</v>
      </c>
      <c r="E49" s="1">
        <f t="shared" si="3"/>
        <v>85.017074558907225</v>
      </c>
      <c r="F49" s="1">
        <f t="shared" si="4"/>
        <v>88.92999430848036</v>
      </c>
      <c r="G49" s="5">
        <v>14056</v>
      </c>
      <c r="H49" s="4">
        <v>11950</v>
      </c>
      <c r="I49" s="5">
        <v>12500</v>
      </c>
      <c r="J49" s="5">
        <f t="shared" si="2"/>
        <v>550</v>
      </c>
      <c r="K49" s="3">
        <v>20.246348595348838</v>
      </c>
      <c r="L49">
        <v>19.2</v>
      </c>
      <c r="M49" s="2">
        <v>5.4497322674418758E-2</v>
      </c>
      <c r="N49">
        <v>25</v>
      </c>
    </row>
    <row r="50" spans="1:14" x14ac:dyDescent="0.45">
      <c r="A50" t="s">
        <v>13</v>
      </c>
      <c r="B50">
        <v>49</v>
      </c>
      <c r="C50">
        <v>4.3</v>
      </c>
      <c r="D50" s="1">
        <v>95.720836363636366</v>
      </c>
      <c r="E50" s="1">
        <f t="shared" si="3"/>
        <v>77.845136401212457</v>
      </c>
      <c r="F50" s="1">
        <f t="shared" si="4"/>
        <v>88.178561587214105</v>
      </c>
      <c r="G50" s="5">
        <v>7258</v>
      </c>
      <c r="H50" s="4">
        <v>5650</v>
      </c>
      <c r="I50" s="5">
        <v>6400</v>
      </c>
      <c r="J50" s="5">
        <f t="shared" si="2"/>
        <v>750</v>
      </c>
      <c r="K50" s="3">
        <v>14.364454790909088</v>
      </c>
      <c r="L50">
        <v>14.5</v>
      </c>
      <c r="M50" s="2">
        <v>-9.2544660000001902E-3</v>
      </c>
      <c r="N50">
        <v>27</v>
      </c>
    </row>
    <row r="51" spans="1:14" x14ac:dyDescent="0.45">
      <c r="A51" t="s">
        <v>13</v>
      </c>
      <c r="B51">
        <v>50</v>
      </c>
      <c r="C51">
        <v>2.7</v>
      </c>
      <c r="D51" s="1">
        <v>90.775836363636358</v>
      </c>
      <c r="E51" s="1">
        <f t="shared" si="3"/>
        <v>79.178885630498527</v>
      </c>
      <c r="F51" s="1">
        <f t="shared" si="4"/>
        <v>93.841642228739005</v>
      </c>
      <c r="G51" s="5">
        <v>1705</v>
      </c>
      <c r="H51" s="4">
        <v>1350</v>
      </c>
      <c r="I51" s="5">
        <v>1600</v>
      </c>
      <c r="J51" s="5">
        <f t="shared" si="2"/>
        <v>250</v>
      </c>
      <c r="K51" s="3">
        <v>15.520753652727274</v>
      </c>
      <c r="L51">
        <v>14.5</v>
      </c>
      <c r="M51" s="2">
        <v>7.7436484000000194E-2</v>
      </c>
      <c r="N51">
        <v>32</v>
      </c>
    </row>
    <row r="52" spans="1:14" x14ac:dyDescent="0.45">
      <c r="A52" t="s">
        <v>12</v>
      </c>
      <c r="B52">
        <v>51</v>
      </c>
      <c r="C52">
        <v>3.1</v>
      </c>
      <c r="D52" s="1">
        <v>97.375498614958445</v>
      </c>
      <c r="E52" s="1">
        <f t="shared" si="3"/>
        <v>75.757575757575751</v>
      </c>
      <c r="F52" s="1">
        <f t="shared" si="4"/>
        <v>85.227272727272734</v>
      </c>
      <c r="G52" s="5">
        <v>1584</v>
      </c>
      <c r="H52" s="4">
        <v>1200</v>
      </c>
      <c r="I52" s="5">
        <v>1350</v>
      </c>
      <c r="J52" s="5">
        <f t="shared" si="2"/>
        <v>150</v>
      </c>
      <c r="K52" s="3">
        <v>7.8230657405817183</v>
      </c>
      <c r="L52">
        <v>7.7</v>
      </c>
      <c r="M52" s="2">
        <v>1.5343261163435073E-2</v>
      </c>
      <c r="N52">
        <v>36</v>
      </c>
    </row>
    <row r="53" spans="1:14" x14ac:dyDescent="0.45">
      <c r="A53" t="s">
        <v>13</v>
      </c>
      <c r="B53">
        <v>52</v>
      </c>
      <c r="C53">
        <v>3.8</v>
      </c>
      <c r="D53" s="1">
        <v>98.880836363636362</v>
      </c>
      <c r="E53" s="1">
        <f t="shared" si="3"/>
        <v>76.97241821680565</v>
      </c>
      <c r="F53" s="1">
        <f t="shared" si="4"/>
        <v>89.801154586273256</v>
      </c>
      <c r="G53" s="5">
        <v>1559</v>
      </c>
      <c r="H53" s="4">
        <v>1200</v>
      </c>
      <c r="I53" s="5">
        <v>1400</v>
      </c>
      <c r="J53" s="5">
        <f t="shared" si="2"/>
        <v>200</v>
      </c>
      <c r="K53" s="3">
        <v>13.342673641818182</v>
      </c>
      <c r="L53">
        <v>14.5</v>
      </c>
      <c r="M53" s="2">
        <v>-8.0613767018181751E-2</v>
      </c>
      <c r="N53">
        <v>28</v>
      </c>
    </row>
    <row r="54" spans="1:14" x14ac:dyDescent="0.45">
      <c r="A54" t="s">
        <v>13</v>
      </c>
      <c r="B54">
        <v>53</v>
      </c>
      <c r="C54">
        <v>4.5999999999999996</v>
      </c>
      <c r="D54" s="1">
        <v>92.92583636363635</v>
      </c>
      <c r="E54" s="1">
        <f t="shared" si="3"/>
        <v>78.502415458937207</v>
      </c>
      <c r="F54" s="1">
        <f t="shared" si="4"/>
        <v>93.59903381642512</v>
      </c>
      <c r="G54" s="5">
        <v>1656</v>
      </c>
      <c r="H54" s="4">
        <v>1300</v>
      </c>
      <c r="I54" s="5">
        <v>1550</v>
      </c>
      <c r="J54" s="5">
        <f t="shared" si="2"/>
        <v>250</v>
      </c>
      <c r="K54" s="3">
        <v>14.904723578181818</v>
      </c>
      <c r="L54">
        <v>14.5</v>
      </c>
      <c r="M54" s="2">
        <v>2.9586689163636378E-2</v>
      </c>
      <c r="N54">
        <v>22</v>
      </c>
    </row>
    <row r="55" spans="1:14" x14ac:dyDescent="0.45">
      <c r="A55" t="s">
        <v>13</v>
      </c>
      <c r="B55">
        <v>54</v>
      </c>
      <c r="C55">
        <v>3.3</v>
      </c>
      <c r="D55" s="1">
        <v>91.255836363636362</v>
      </c>
      <c r="E55" s="1">
        <f t="shared" si="3"/>
        <v>80.394190871369304</v>
      </c>
      <c r="F55" s="1">
        <f t="shared" si="4"/>
        <v>93.360995850622402</v>
      </c>
      <c r="G55" s="5">
        <v>5784</v>
      </c>
      <c r="H55" s="4">
        <v>4650</v>
      </c>
      <c r="I55" s="5">
        <v>5400</v>
      </c>
      <c r="J55" s="5">
        <f t="shared" si="2"/>
        <v>750</v>
      </c>
      <c r="K55" s="3">
        <v>15.610224690000001</v>
      </c>
      <c r="L55">
        <v>14.5</v>
      </c>
      <c r="M55" s="2">
        <v>7.6567220000000047E-2</v>
      </c>
      <c r="N55">
        <v>25</v>
      </c>
    </row>
    <row r="56" spans="1:14" x14ac:dyDescent="0.45">
      <c r="A56" t="s">
        <v>12</v>
      </c>
      <c r="B56">
        <v>55</v>
      </c>
      <c r="C56">
        <v>3.4</v>
      </c>
      <c r="D56" s="1">
        <v>92.900498614958437</v>
      </c>
      <c r="E56" s="1">
        <f t="shared" si="3"/>
        <v>79.346281383230703</v>
      </c>
      <c r="F56" s="1">
        <f t="shared" si="4"/>
        <v>92.373282804358126</v>
      </c>
      <c r="G56" s="5">
        <v>4222</v>
      </c>
      <c r="H56" s="4">
        <v>3350</v>
      </c>
      <c r="I56" s="5">
        <v>3900</v>
      </c>
      <c r="J56" s="5">
        <f t="shared" si="2"/>
        <v>550</v>
      </c>
      <c r="K56" s="3">
        <v>7.4219954459833808</v>
      </c>
      <c r="L56">
        <v>7.7</v>
      </c>
      <c r="M56" s="2">
        <v>-3.9714936288088511E-2</v>
      </c>
      <c r="N56">
        <v>30</v>
      </c>
    </row>
    <row r="57" spans="1:14" x14ac:dyDescent="0.45">
      <c r="A57" t="s">
        <v>13</v>
      </c>
      <c r="B57">
        <v>56</v>
      </c>
      <c r="C57">
        <v>3.7</v>
      </c>
      <c r="D57" s="1">
        <v>97.705836363636365</v>
      </c>
      <c r="E57" s="1">
        <f t="shared" si="3"/>
        <v>76.474872541879108</v>
      </c>
      <c r="F57" s="1">
        <f t="shared" si="4"/>
        <v>83.758193736343785</v>
      </c>
      <c r="G57" s="5">
        <v>1373</v>
      </c>
      <c r="H57" s="4">
        <v>1050</v>
      </c>
      <c r="I57" s="5">
        <v>1150</v>
      </c>
      <c r="J57" s="5">
        <f t="shared" si="2"/>
        <v>100</v>
      </c>
      <c r="K57" s="3">
        <v>15.425959876363637</v>
      </c>
      <c r="L57">
        <v>14.5</v>
      </c>
      <c r="M57" s="2">
        <v>6.1943522763636433E-2</v>
      </c>
      <c r="N57">
        <v>26</v>
      </c>
    </row>
    <row r="58" spans="1:14" x14ac:dyDescent="0.45">
      <c r="A58" t="s">
        <v>13</v>
      </c>
      <c r="B58">
        <v>57</v>
      </c>
      <c r="C58">
        <v>3.8</v>
      </c>
      <c r="D58" s="1">
        <v>89.040836363636359</v>
      </c>
      <c r="E58" s="1">
        <f t="shared" si="3"/>
        <v>77.270565858297672</v>
      </c>
      <c r="F58" s="1">
        <f t="shared" si="4"/>
        <v>92.130290061816453</v>
      </c>
      <c r="G58" s="5">
        <v>8412</v>
      </c>
      <c r="H58" s="4">
        <v>6500</v>
      </c>
      <c r="I58" s="5">
        <v>7750</v>
      </c>
      <c r="J58" s="5">
        <f t="shared" si="2"/>
        <v>1250</v>
      </c>
      <c r="K58" s="3">
        <v>16.089078727272728</v>
      </c>
      <c r="L58">
        <v>14.5</v>
      </c>
      <c r="M58" s="2">
        <v>0.11397530181818191</v>
      </c>
      <c r="N58">
        <v>19</v>
      </c>
    </row>
    <row r="59" spans="1:14" x14ac:dyDescent="0.45">
      <c r="A59" t="s">
        <v>13</v>
      </c>
      <c r="B59">
        <v>58</v>
      </c>
      <c r="C59">
        <v>3.9</v>
      </c>
      <c r="D59" s="1">
        <v>93.910836363636363</v>
      </c>
      <c r="E59" s="1">
        <f t="shared" si="3"/>
        <v>77.178585384915991</v>
      </c>
      <c r="F59" s="1">
        <f t="shared" si="4"/>
        <v>84.994138335287218</v>
      </c>
      <c r="G59" s="5">
        <v>10236</v>
      </c>
      <c r="H59" s="4">
        <v>7900</v>
      </c>
      <c r="I59" s="5">
        <v>8700</v>
      </c>
      <c r="J59" s="5">
        <f t="shared" si="2"/>
        <v>800</v>
      </c>
      <c r="K59" s="3">
        <v>14.613782290909088</v>
      </c>
      <c r="L59">
        <v>14.5</v>
      </c>
      <c r="M59" s="2">
        <v>7.611642909090683E-3</v>
      </c>
      <c r="N59">
        <v>32</v>
      </c>
    </row>
    <row r="60" spans="1:14" x14ac:dyDescent="0.45">
      <c r="A60" t="s">
        <v>11</v>
      </c>
      <c r="B60">
        <v>59</v>
      </c>
      <c r="C60">
        <v>2.6</v>
      </c>
      <c r="D60" s="1">
        <v>104.73402552204176</v>
      </c>
      <c r="E60" s="1">
        <f t="shared" si="3"/>
        <v>85.142748623156294</v>
      </c>
      <c r="F60" s="1">
        <f t="shared" si="4"/>
        <v>98.119896182819517</v>
      </c>
      <c r="G60" s="5">
        <v>15797</v>
      </c>
      <c r="H60" s="4">
        <v>13450</v>
      </c>
      <c r="I60" s="5">
        <v>15500</v>
      </c>
      <c r="J60" s="5">
        <f t="shared" si="2"/>
        <v>2050</v>
      </c>
      <c r="K60" s="3">
        <v>11.10420198515081</v>
      </c>
      <c r="L60">
        <v>12.4</v>
      </c>
      <c r="M60" s="2">
        <v>-0.10136484470997691</v>
      </c>
      <c r="N60">
        <v>42</v>
      </c>
    </row>
    <row r="61" spans="1:14" x14ac:dyDescent="0.45">
      <c r="A61" t="s">
        <v>13</v>
      </c>
      <c r="B61">
        <v>60</v>
      </c>
      <c r="C61">
        <v>3.7</v>
      </c>
      <c r="D61" s="1">
        <v>89.565836363636365</v>
      </c>
      <c r="E61" s="1">
        <f t="shared" si="3"/>
        <v>77.138849929873771</v>
      </c>
      <c r="F61" s="1">
        <f t="shared" si="4"/>
        <v>95.254791958859272</v>
      </c>
      <c r="G61" s="5">
        <v>8556</v>
      </c>
      <c r="H61" s="4">
        <v>6600</v>
      </c>
      <c r="I61" s="5">
        <v>8150</v>
      </c>
      <c r="J61" s="5">
        <f t="shared" si="2"/>
        <v>1550</v>
      </c>
      <c r="K61" s="3">
        <v>17.133860488181817</v>
      </c>
      <c r="L61">
        <v>14.5</v>
      </c>
      <c r="M61" s="2">
        <v>0.18709491743636358</v>
      </c>
      <c r="N61">
        <v>24</v>
      </c>
    </row>
    <row r="62" spans="1:14" x14ac:dyDescent="0.45">
      <c r="A62" t="s">
        <v>13</v>
      </c>
      <c r="B62">
        <v>61</v>
      </c>
      <c r="C62">
        <v>4.2</v>
      </c>
      <c r="D62" s="1">
        <v>91.110836363636366</v>
      </c>
      <c r="E62" s="1">
        <f t="shared" si="3"/>
        <v>74.781511847914231</v>
      </c>
      <c r="F62" s="1">
        <f t="shared" si="4"/>
        <v>91.900171186593383</v>
      </c>
      <c r="G62" s="5">
        <v>11099</v>
      </c>
      <c r="H62" s="4">
        <v>8300</v>
      </c>
      <c r="I62" s="5">
        <v>10200</v>
      </c>
      <c r="J62" s="5">
        <f t="shared" si="2"/>
        <v>1900</v>
      </c>
      <c r="K62" s="3">
        <v>17.052043025454545</v>
      </c>
      <c r="L62">
        <v>14.5</v>
      </c>
      <c r="M62" s="2">
        <v>0.17072287825454541</v>
      </c>
      <c r="N62">
        <v>26</v>
      </c>
    </row>
    <row r="63" spans="1:14" x14ac:dyDescent="0.45">
      <c r="A63" t="s">
        <v>10</v>
      </c>
      <c r="B63">
        <v>62</v>
      </c>
      <c r="C63">
        <v>2.5</v>
      </c>
      <c r="D63" s="1">
        <v>94.646359011627908</v>
      </c>
      <c r="E63" s="1">
        <f t="shared" si="3"/>
        <v>84.818003580257439</v>
      </c>
      <c r="F63" s="1">
        <f t="shared" si="4"/>
        <v>97.604637285823884</v>
      </c>
      <c r="G63" s="5">
        <v>11731</v>
      </c>
      <c r="H63" s="4">
        <v>9950</v>
      </c>
      <c r="I63" s="5">
        <v>11450</v>
      </c>
      <c r="J63" s="5">
        <f t="shared" si="2"/>
        <v>1500</v>
      </c>
      <c r="K63" s="3">
        <v>20.632457051162792</v>
      </c>
      <c r="L63">
        <v>19.2</v>
      </c>
      <c r="M63" s="2">
        <v>7.3861066700581568E-2</v>
      </c>
      <c r="N63">
        <v>29</v>
      </c>
    </row>
    <row r="64" spans="1:14" x14ac:dyDescent="0.45">
      <c r="A64" t="s">
        <v>13</v>
      </c>
      <c r="B64">
        <v>63</v>
      </c>
      <c r="C64">
        <v>4</v>
      </c>
      <c r="D64" s="1">
        <v>91.460836363636361</v>
      </c>
      <c r="E64" s="1">
        <f t="shared" si="3"/>
        <v>75.088845580648851</v>
      </c>
      <c r="F64" s="1">
        <f t="shared" si="4"/>
        <v>92.857961710420724</v>
      </c>
      <c r="G64" s="5">
        <v>8723</v>
      </c>
      <c r="H64" s="4">
        <v>6550</v>
      </c>
      <c r="I64" s="5">
        <v>8100</v>
      </c>
      <c r="J64" s="5">
        <f t="shared" si="2"/>
        <v>1550</v>
      </c>
      <c r="K64" s="3">
        <v>16.839851238181819</v>
      </c>
      <c r="L64">
        <v>14.5</v>
      </c>
      <c r="M64" s="2">
        <v>0.17266488447272743</v>
      </c>
      <c r="N64">
        <v>25</v>
      </c>
    </row>
    <row r="65" spans="1:14" x14ac:dyDescent="0.45">
      <c r="A65" t="s">
        <v>13</v>
      </c>
      <c r="B65">
        <v>64</v>
      </c>
      <c r="C65">
        <v>4.0999999999999996</v>
      </c>
      <c r="D65" s="1">
        <v>88.985836363636366</v>
      </c>
      <c r="E65" s="1">
        <f t="shared" si="3"/>
        <v>74.501321797644792</v>
      </c>
      <c r="F65" s="1">
        <f t="shared" si="4"/>
        <v>90.122566690699344</v>
      </c>
      <c r="G65" s="5">
        <v>4161</v>
      </c>
      <c r="H65" s="4">
        <v>3100</v>
      </c>
      <c r="I65" s="5">
        <v>3750</v>
      </c>
      <c r="J65" s="5">
        <f t="shared" si="2"/>
        <v>650</v>
      </c>
      <c r="K65" s="3">
        <v>17.223847488181818</v>
      </c>
      <c r="L65">
        <v>14.5</v>
      </c>
      <c r="M65" s="2">
        <v>0.20287967498181805</v>
      </c>
      <c r="N65">
        <v>20</v>
      </c>
    </row>
    <row r="66" spans="1:14" x14ac:dyDescent="0.45">
      <c r="A66" t="s">
        <v>10</v>
      </c>
      <c r="B66">
        <v>65</v>
      </c>
      <c r="C66">
        <v>3.3</v>
      </c>
      <c r="D66" s="1">
        <v>103.57135901162791</v>
      </c>
      <c r="E66" s="1">
        <f t="shared" ref="E66:E101" si="5">H66/G66*100</f>
        <v>79.736742184533611</v>
      </c>
      <c r="F66" s="1">
        <f t="shared" ref="F66:F97" si="6">I66/G66*100</f>
        <v>91.127705353752688</v>
      </c>
      <c r="G66" s="5">
        <v>7901</v>
      </c>
      <c r="H66" s="4">
        <v>6300</v>
      </c>
      <c r="I66" s="5">
        <v>7200</v>
      </c>
      <c r="J66" s="5">
        <f t="shared" si="2"/>
        <v>900</v>
      </c>
      <c r="K66" s="3">
        <v>17.958870097674417</v>
      </c>
      <c r="L66">
        <v>19.2</v>
      </c>
      <c r="M66" s="2">
        <v>-6.011722964389539E-2</v>
      </c>
      <c r="N66">
        <v>39</v>
      </c>
    </row>
    <row r="67" spans="1:14" x14ac:dyDescent="0.45">
      <c r="A67" t="s">
        <v>13</v>
      </c>
      <c r="B67">
        <v>66</v>
      </c>
      <c r="C67">
        <v>3.5</v>
      </c>
      <c r="D67" s="1">
        <v>89.805836363636359</v>
      </c>
      <c r="E67" s="1">
        <f t="shared" si="5"/>
        <v>80.038676407391492</v>
      </c>
      <c r="F67" s="1">
        <f t="shared" si="6"/>
        <v>89.707778255264287</v>
      </c>
      <c r="G67" s="5">
        <v>9308</v>
      </c>
      <c r="H67" s="4">
        <v>7450</v>
      </c>
      <c r="I67" s="5">
        <v>8350</v>
      </c>
      <c r="J67" s="5">
        <f t="shared" ref="J67:J101" si="7">I67-H67</f>
        <v>900</v>
      </c>
      <c r="K67" s="3">
        <v>16.617279876363639</v>
      </c>
      <c r="L67">
        <v>14.5</v>
      </c>
      <c r="M67" s="2">
        <v>0.13579795069090939</v>
      </c>
      <c r="N67">
        <v>21</v>
      </c>
    </row>
    <row r="68" spans="1:14" x14ac:dyDescent="0.45">
      <c r="A68" t="s">
        <v>11</v>
      </c>
      <c r="B68">
        <v>67</v>
      </c>
      <c r="C68">
        <v>1.5</v>
      </c>
      <c r="D68" s="1">
        <v>104.72902552204177</v>
      </c>
      <c r="E68" s="1">
        <f t="shared" si="5"/>
        <v>87.165733217638248</v>
      </c>
      <c r="F68" s="1">
        <f t="shared" si="6"/>
        <v>95.448449948726051</v>
      </c>
      <c r="G68" s="5">
        <v>12677</v>
      </c>
      <c r="H68" s="4">
        <v>11050</v>
      </c>
      <c r="I68" s="5">
        <v>12100</v>
      </c>
      <c r="J68" s="5">
        <f t="shared" si="7"/>
        <v>1050</v>
      </c>
      <c r="K68" s="3">
        <v>11.104784785150811</v>
      </c>
      <c r="L68">
        <v>12.4</v>
      </c>
      <c r="M68" s="2">
        <v>-0.11385359549884003</v>
      </c>
      <c r="N68">
        <v>43</v>
      </c>
    </row>
    <row r="69" spans="1:14" x14ac:dyDescent="0.45">
      <c r="A69" t="s">
        <v>12</v>
      </c>
      <c r="B69">
        <v>68</v>
      </c>
      <c r="C69">
        <v>1.3</v>
      </c>
      <c r="D69" s="1">
        <v>94.495498614958436</v>
      </c>
      <c r="E69" s="1">
        <f t="shared" si="5"/>
        <v>80.406654343807759</v>
      </c>
      <c r="F69" s="1">
        <f t="shared" si="6"/>
        <v>92.421441774491683</v>
      </c>
      <c r="G69" s="5">
        <v>5410</v>
      </c>
      <c r="H69" s="4">
        <v>4350</v>
      </c>
      <c r="I69" s="5">
        <v>5000</v>
      </c>
      <c r="J69" s="5">
        <f t="shared" si="7"/>
        <v>650</v>
      </c>
      <c r="K69" s="3">
        <v>8.8549928012465404</v>
      </c>
      <c r="L69">
        <v>7.7</v>
      </c>
      <c r="M69" s="2">
        <v>0.16049899965374012</v>
      </c>
      <c r="N69">
        <v>29</v>
      </c>
    </row>
    <row r="70" spans="1:14" x14ac:dyDescent="0.45">
      <c r="A70" t="s">
        <v>13</v>
      </c>
      <c r="B70">
        <v>69</v>
      </c>
      <c r="C70">
        <v>2.7</v>
      </c>
      <c r="D70" s="1">
        <v>98.540836363636359</v>
      </c>
      <c r="E70" s="1">
        <f t="shared" si="5"/>
        <v>75.793840753151429</v>
      </c>
      <c r="F70" s="1">
        <f t="shared" si="6"/>
        <v>91.750438806446468</v>
      </c>
      <c r="G70" s="5">
        <v>6267</v>
      </c>
      <c r="H70" s="4">
        <v>4750</v>
      </c>
      <c r="I70" s="5">
        <v>5750</v>
      </c>
      <c r="J70" s="5">
        <f t="shared" si="7"/>
        <v>1000</v>
      </c>
      <c r="K70" s="3">
        <v>14.123115578181819</v>
      </c>
      <c r="L70">
        <v>14.5</v>
      </c>
      <c r="M70" s="2">
        <v>-2.5732108799999938E-2</v>
      </c>
      <c r="N70">
        <v>25</v>
      </c>
    </row>
    <row r="71" spans="1:14" x14ac:dyDescent="0.45">
      <c r="A71" t="s">
        <v>13</v>
      </c>
      <c r="B71">
        <v>70</v>
      </c>
      <c r="C71">
        <v>3.2</v>
      </c>
      <c r="D71" s="1">
        <v>92.105836363636371</v>
      </c>
      <c r="E71" s="1">
        <f t="shared" si="5"/>
        <v>77.945677123182861</v>
      </c>
      <c r="F71" s="1">
        <f t="shared" si="6"/>
        <v>87.509563886763587</v>
      </c>
      <c r="G71" s="5">
        <v>10456</v>
      </c>
      <c r="H71" s="4">
        <v>8150</v>
      </c>
      <c r="I71" s="5">
        <v>9150</v>
      </c>
      <c r="J71" s="5">
        <f t="shared" si="7"/>
        <v>1000</v>
      </c>
      <c r="K71" s="3">
        <v>14.549527966363637</v>
      </c>
      <c r="L71">
        <v>14.5</v>
      </c>
      <c r="M71" s="2">
        <v>3.6889795636363856E-3</v>
      </c>
      <c r="N71">
        <v>22</v>
      </c>
    </row>
    <row r="72" spans="1:14" x14ac:dyDescent="0.45">
      <c r="A72" t="s">
        <v>11</v>
      </c>
      <c r="B72">
        <v>71</v>
      </c>
      <c r="C72">
        <v>2.8</v>
      </c>
      <c r="D72" s="1">
        <v>109.19902552204177</v>
      </c>
      <c r="E72" s="1">
        <f t="shared" si="5"/>
        <v>86.193973916953979</v>
      </c>
      <c r="F72" s="1">
        <f t="shared" si="6"/>
        <v>95.937640533653123</v>
      </c>
      <c r="G72" s="5">
        <v>6671</v>
      </c>
      <c r="H72" s="4">
        <v>5750</v>
      </c>
      <c r="I72" s="5">
        <v>6400</v>
      </c>
      <c r="J72" s="5">
        <f t="shared" si="7"/>
        <v>650</v>
      </c>
      <c r="K72" s="3">
        <v>11.371914043619489</v>
      </c>
      <c r="L72">
        <v>12.4</v>
      </c>
      <c r="M72" s="2">
        <v>-8.4568360928074335E-2</v>
      </c>
      <c r="N72">
        <v>30</v>
      </c>
    </row>
    <row r="73" spans="1:14" x14ac:dyDescent="0.45">
      <c r="A73" t="s">
        <v>12</v>
      </c>
      <c r="B73">
        <v>72</v>
      </c>
      <c r="C73">
        <v>2.9</v>
      </c>
      <c r="D73" s="1">
        <v>92.005498614958455</v>
      </c>
      <c r="E73" s="1">
        <f t="shared" si="5"/>
        <v>74.771800349582435</v>
      </c>
      <c r="F73" s="1">
        <f t="shared" si="6"/>
        <v>84.482423771606136</v>
      </c>
      <c r="G73" s="5">
        <v>5149</v>
      </c>
      <c r="H73" s="4">
        <v>3850</v>
      </c>
      <c r="I73" s="5">
        <v>4350</v>
      </c>
      <c r="J73" s="5">
        <f t="shared" si="7"/>
        <v>500</v>
      </c>
      <c r="K73" s="3">
        <v>8.565043904847645</v>
      </c>
      <c r="L73">
        <v>7.7</v>
      </c>
      <c r="M73" s="2">
        <v>0.11796053247922435</v>
      </c>
      <c r="N73">
        <v>26</v>
      </c>
    </row>
    <row r="74" spans="1:14" x14ac:dyDescent="0.45">
      <c r="A74" t="s">
        <v>10</v>
      </c>
      <c r="B74">
        <v>73</v>
      </c>
      <c r="C74">
        <v>2.9</v>
      </c>
      <c r="D74" s="1">
        <v>100.6263590116279</v>
      </c>
      <c r="E74" s="1">
        <f t="shared" si="5"/>
        <v>83.067680235409512</v>
      </c>
      <c r="F74" s="1">
        <f t="shared" si="6"/>
        <v>91.3437959784208</v>
      </c>
      <c r="G74" s="5">
        <v>16312</v>
      </c>
      <c r="H74" s="4">
        <v>13550</v>
      </c>
      <c r="I74" s="5">
        <v>14900</v>
      </c>
      <c r="J74" s="5">
        <f t="shared" si="7"/>
        <v>1350</v>
      </c>
      <c r="K74" s="3">
        <v>20.606118195348841</v>
      </c>
      <c r="L74">
        <v>19.2</v>
      </c>
      <c r="M74" s="2">
        <v>7.1038262994186335E-2</v>
      </c>
      <c r="N74">
        <v>37</v>
      </c>
    </row>
    <row r="75" spans="1:14" x14ac:dyDescent="0.45">
      <c r="A75" t="s">
        <v>10</v>
      </c>
      <c r="B75">
        <v>74</v>
      </c>
      <c r="C75">
        <v>2.9</v>
      </c>
      <c r="D75" s="1">
        <v>101.70635901162791</v>
      </c>
      <c r="E75" s="1">
        <f t="shared" si="5"/>
        <v>85.13123117585593</v>
      </c>
      <c r="F75" s="1">
        <f t="shared" si="6"/>
        <v>95.580551970004308</v>
      </c>
      <c r="G75" s="5">
        <v>16269</v>
      </c>
      <c r="H75" s="4">
        <v>13850</v>
      </c>
      <c r="I75" s="5">
        <v>15550</v>
      </c>
      <c r="J75" s="5">
        <f t="shared" si="7"/>
        <v>1700</v>
      </c>
      <c r="K75" s="3">
        <v>20.382169395348836</v>
      </c>
      <c r="L75">
        <v>19.2</v>
      </c>
      <c r="M75" s="2">
        <v>5.7261330087209267E-2</v>
      </c>
      <c r="N75">
        <v>37</v>
      </c>
    </row>
    <row r="76" spans="1:14" x14ac:dyDescent="0.45">
      <c r="A76" t="s">
        <v>10</v>
      </c>
      <c r="B76">
        <v>75</v>
      </c>
      <c r="C76">
        <v>3</v>
      </c>
      <c r="D76" s="1">
        <v>96.661359011627908</v>
      </c>
      <c r="E76" s="1">
        <f t="shared" si="5"/>
        <v>84.923126458987369</v>
      </c>
      <c r="F76" s="1">
        <f t="shared" si="6"/>
        <v>93.777670449971822</v>
      </c>
      <c r="G76" s="5">
        <v>24846</v>
      </c>
      <c r="H76" s="4">
        <v>21100</v>
      </c>
      <c r="I76" s="5">
        <v>23300</v>
      </c>
      <c r="J76" s="5">
        <f t="shared" si="7"/>
        <v>2200</v>
      </c>
      <c r="K76" s="3">
        <v>21.626710786046512</v>
      </c>
      <c r="L76">
        <v>19.2</v>
      </c>
      <c r="M76" s="2">
        <v>0.12133553930232566</v>
      </c>
      <c r="N76">
        <v>32</v>
      </c>
    </row>
    <row r="77" spans="1:14" x14ac:dyDescent="0.45">
      <c r="A77" t="s">
        <v>9</v>
      </c>
      <c r="B77">
        <v>76</v>
      </c>
      <c r="C77">
        <v>2.5</v>
      </c>
      <c r="D77" s="1">
        <v>110.54970840480276</v>
      </c>
      <c r="E77" s="1">
        <f t="shared" si="5"/>
        <v>90.028601144045766</v>
      </c>
      <c r="F77" s="1">
        <f t="shared" si="6"/>
        <v>91.003640145605829</v>
      </c>
      <c r="G77" s="5">
        <v>46152</v>
      </c>
      <c r="H77" s="4">
        <v>41550</v>
      </c>
      <c r="I77" s="5">
        <v>42000</v>
      </c>
      <c r="J77" s="5">
        <f t="shared" si="7"/>
        <v>450</v>
      </c>
      <c r="K77" s="3">
        <v>20.764990690909087</v>
      </c>
      <c r="L77">
        <v>21.9</v>
      </c>
      <c r="M77" s="2">
        <v>-5.7009600000000063E-2</v>
      </c>
      <c r="N77">
        <v>38</v>
      </c>
    </row>
    <row r="78" spans="1:14" x14ac:dyDescent="0.45">
      <c r="A78" t="s">
        <v>9</v>
      </c>
      <c r="B78">
        <v>77</v>
      </c>
      <c r="C78">
        <v>2.2999999999999998</v>
      </c>
      <c r="D78" s="1">
        <v>109.23470840480275</v>
      </c>
      <c r="E78" s="1">
        <f t="shared" si="5"/>
        <v>90.005792451989493</v>
      </c>
      <c r="F78" s="1">
        <f t="shared" si="6"/>
        <v>97.357750746335157</v>
      </c>
      <c r="G78" s="5">
        <v>22443</v>
      </c>
      <c r="H78" s="4">
        <v>20200</v>
      </c>
      <c r="I78" s="5">
        <v>21850</v>
      </c>
      <c r="J78" s="5">
        <f t="shared" si="7"/>
        <v>1650</v>
      </c>
      <c r="K78" s="3">
        <v>19.480046882161233</v>
      </c>
      <c r="L78">
        <v>21.9</v>
      </c>
      <c r="M78" s="2">
        <v>-0.10939514094339628</v>
      </c>
      <c r="N78">
        <v>47</v>
      </c>
    </row>
    <row r="79" spans="1:14" x14ac:dyDescent="0.45">
      <c r="A79" t="s">
        <v>10</v>
      </c>
      <c r="B79">
        <v>78</v>
      </c>
      <c r="C79">
        <v>3</v>
      </c>
      <c r="D79" s="1">
        <v>97.336359011627906</v>
      </c>
      <c r="E79" s="1">
        <f t="shared" si="5"/>
        <v>84.993674889310569</v>
      </c>
      <c r="F79" s="1">
        <f t="shared" si="6"/>
        <v>96.853257432005051</v>
      </c>
      <c r="G79" s="5">
        <v>12648</v>
      </c>
      <c r="H79" s="4">
        <v>10750</v>
      </c>
      <c r="I79" s="5">
        <v>12250</v>
      </c>
      <c r="J79" s="5">
        <f t="shared" si="7"/>
        <v>1500</v>
      </c>
      <c r="K79" s="3">
        <v>17.937391353488373</v>
      </c>
      <c r="L79">
        <v>19.2</v>
      </c>
      <c r="M79" s="2">
        <v>-7.1679345036337105E-2</v>
      </c>
      <c r="N79">
        <v>32</v>
      </c>
    </row>
    <row r="80" spans="1:14" x14ac:dyDescent="0.45">
      <c r="A80" t="s">
        <v>9</v>
      </c>
      <c r="B80">
        <v>79</v>
      </c>
      <c r="C80">
        <v>1.1000000000000001</v>
      </c>
      <c r="D80" s="1">
        <v>115.45970840480275</v>
      </c>
      <c r="E80" s="1">
        <f t="shared" si="5"/>
        <v>84.979329352319709</v>
      </c>
      <c r="F80" s="1">
        <f t="shared" si="6"/>
        <v>93.957489455881742</v>
      </c>
      <c r="G80" s="5">
        <v>23947</v>
      </c>
      <c r="H80" s="4">
        <v>20350</v>
      </c>
      <c r="I80" s="5">
        <v>22500</v>
      </c>
      <c r="J80" s="5">
        <f t="shared" si="7"/>
        <v>2150</v>
      </c>
      <c r="K80" s="3">
        <v>18.144037382161233</v>
      </c>
      <c r="L80">
        <v>21.9</v>
      </c>
      <c r="M80" s="2">
        <v>-0.18522555375643229</v>
      </c>
      <c r="N80">
        <v>49</v>
      </c>
    </row>
    <row r="81" spans="1:14" x14ac:dyDescent="0.45">
      <c r="A81" t="s">
        <v>11</v>
      </c>
      <c r="B81">
        <v>80</v>
      </c>
      <c r="C81">
        <v>1.9</v>
      </c>
      <c r="D81" s="1">
        <v>107.88902552204176</v>
      </c>
      <c r="E81" s="1">
        <f t="shared" si="5"/>
        <v>88.095045663945697</v>
      </c>
      <c r="F81" s="1">
        <f t="shared" si="6"/>
        <v>99.410005657479999</v>
      </c>
      <c r="G81" s="5">
        <v>12373</v>
      </c>
      <c r="H81" s="4">
        <v>10900</v>
      </c>
      <c r="I81" s="5">
        <v>12300</v>
      </c>
      <c r="J81" s="5">
        <f t="shared" si="7"/>
        <v>1400</v>
      </c>
      <c r="K81" s="3">
        <v>10.736455185150811</v>
      </c>
      <c r="L81">
        <v>12.4</v>
      </c>
      <c r="M81" s="2">
        <v>-0.13147370310904877</v>
      </c>
      <c r="N81">
        <v>41</v>
      </c>
    </row>
    <row r="82" spans="1:14" x14ac:dyDescent="0.45">
      <c r="A82" t="s">
        <v>12</v>
      </c>
      <c r="B82">
        <v>81</v>
      </c>
      <c r="C82">
        <v>2.7</v>
      </c>
      <c r="D82" s="1">
        <v>88.480498614958435</v>
      </c>
      <c r="E82" s="1">
        <f t="shared" si="5"/>
        <v>80.060422960725077</v>
      </c>
      <c r="F82" s="1">
        <f t="shared" si="6"/>
        <v>86.102719033232631</v>
      </c>
      <c r="G82" s="5">
        <v>3310</v>
      </c>
      <c r="H82" s="4">
        <v>2650</v>
      </c>
      <c r="I82" s="5">
        <v>2850</v>
      </c>
      <c r="J82" s="5">
        <f t="shared" si="7"/>
        <v>200</v>
      </c>
      <c r="K82" s="3">
        <v>9.2739617351800572</v>
      </c>
      <c r="L82">
        <v>7.7</v>
      </c>
      <c r="M82" s="2">
        <v>0.22485167645429396</v>
      </c>
      <c r="N82">
        <v>28</v>
      </c>
    </row>
    <row r="83" spans="1:14" x14ac:dyDescent="0.45">
      <c r="A83" t="s">
        <v>9</v>
      </c>
      <c r="B83">
        <v>82</v>
      </c>
      <c r="C83">
        <v>2.2999999999999998</v>
      </c>
      <c r="D83" s="1">
        <v>105.05470840480275</v>
      </c>
      <c r="E83" s="1">
        <f t="shared" si="5"/>
        <v>88.941716534142145</v>
      </c>
      <c r="F83" s="1">
        <f t="shared" si="6"/>
        <v>93.58690603054896</v>
      </c>
      <c r="G83" s="5">
        <v>36597</v>
      </c>
      <c r="H83" s="4">
        <v>32550</v>
      </c>
      <c r="I83" s="5">
        <v>34250</v>
      </c>
      <c r="J83" s="5">
        <f t="shared" si="7"/>
        <v>1700</v>
      </c>
      <c r="K83" s="3">
        <v>20.169228293567748</v>
      </c>
      <c r="L83">
        <v>21.9</v>
      </c>
      <c r="M83" s="2">
        <v>-8.5353125248713774E-2</v>
      </c>
      <c r="N83">
        <v>33</v>
      </c>
    </row>
    <row r="84" spans="1:14" x14ac:dyDescent="0.45">
      <c r="A84" t="s">
        <v>10</v>
      </c>
      <c r="B84">
        <v>83</v>
      </c>
      <c r="C84">
        <v>2.8</v>
      </c>
      <c r="D84" s="1">
        <v>101.21135901162791</v>
      </c>
      <c r="E84" s="1">
        <f t="shared" si="5"/>
        <v>83.934271190448044</v>
      </c>
      <c r="F84" s="1">
        <f t="shared" si="6"/>
        <v>90.731764984040666</v>
      </c>
      <c r="G84" s="5">
        <v>16918</v>
      </c>
      <c r="H84" s="4">
        <v>14200</v>
      </c>
      <c r="I84" s="5">
        <v>15350</v>
      </c>
      <c r="J84" s="5">
        <f t="shared" si="7"/>
        <v>1150</v>
      </c>
      <c r="K84" s="3">
        <v>19.72611583255814</v>
      </c>
      <c r="L84">
        <v>19.2</v>
      </c>
      <c r="M84" s="2">
        <v>2.9319996918604707E-2</v>
      </c>
      <c r="N84">
        <v>36</v>
      </c>
    </row>
    <row r="85" spans="1:14" x14ac:dyDescent="0.45">
      <c r="A85" t="s">
        <v>12</v>
      </c>
      <c r="B85">
        <v>84</v>
      </c>
      <c r="C85">
        <v>2.9</v>
      </c>
      <c r="D85" s="1">
        <v>90.270498614958441</v>
      </c>
      <c r="E85" s="1">
        <f t="shared" si="5"/>
        <v>75.268817204301072</v>
      </c>
      <c r="F85" s="1">
        <f t="shared" si="6"/>
        <v>90.629800307219668</v>
      </c>
      <c r="G85" s="5">
        <v>3255</v>
      </c>
      <c r="H85" s="4">
        <v>2450</v>
      </c>
      <c r="I85" s="5">
        <v>2950</v>
      </c>
      <c r="J85" s="5">
        <f t="shared" si="7"/>
        <v>500</v>
      </c>
      <c r="K85" s="3">
        <v>9.2940887673130206</v>
      </c>
      <c r="L85">
        <v>7.7</v>
      </c>
      <c r="M85" s="2">
        <v>0.18839230886426614</v>
      </c>
      <c r="N85">
        <v>23</v>
      </c>
    </row>
    <row r="86" spans="1:14" x14ac:dyDescent="0.45">
      <c r="A86" t="s">
        <v>12</v>
      </c>
      <c r="B86">
        <v>85</v>
      </c>
      <c r="C86">
        <v>3.1</v>
      </c>
      <c r="D86" s="1">
        <v>92.215498614958449</v>
      </c>
      <c r="E86" s="1">
        <f t="shared" si="5"/>
        <v>78.519349411104884</v>
      </c>
      <c r="F86" s="1">
        <f t="shared" si="6"/>
        <v>92.540661805945035</v>
      </c>
      <c r="G86" s="5">
        <v>1783</v>
      </c>
      <c r="H86" s="4">
        <v>1400</v>
      </c>
      <c r="I86" s="5">
        <v>1650</v>
      </c>
      <c r="J86" s="5">
        <f t="shared" si="7"/>
        <v>250</v>
      </c>
      <c r="K86" s="3">
        <v>8.9633591351800561</v>
      </c>
      <c r="L86">
        <v>7.7</v>
      </c>
      <c r="M86" s="2">
        <v>0.15586898421052639</v>
      </c>
      <c r="N86">
        <v>33</v>
      </c>
    </row>
    <row r="87" spans="1:14" x14ac:dyDescent="0.45">
      <c r="A87" t="s">
        <v>12</v>
      </c>
      <c r="B87">
        <v>86</v>
      </c>
      <c r="C87">
        <v>3.6</v>
      </c>
      <c r="D87" s="1">
        <v>88.315498614958443</v>
      </c>
      <c r="E87" s="1">
        <f t="shared" si="5"/>
        <v>80.766341096919618</v>
      </c>
      <c r="F87" s="1">
        <f t="shared" si="6"/>
        <v>92.03606311044328</v>
      </c>
      <c r="G87" s="5">
        <v>2662</v>
      </c>
      <c r="H87" s="4">
        <v>2150</v>
      </c>
      <c r="I87" s="5">
        <v>2450</v>
      </c>
      <c r="J87" s="5">
        <f t="shared" si="7"/>
        <v>300</v>
      </c>
      <c r="K87" s="3">
        <v>8.1697212763157889</v>
      </c>
      <c r="L87">
        <v>7.7</v>
      </c>
      <c r="M87" s="2">
        <v>6.2222818421052553E-2</v>
      </c>
      <c r="N87">
        <v>21</v>
      </c>
    </row>
    <row r="88" spans="1:14" x14ac:dyDescent="0.45">
      <c r="A88" t="s">
        <v>10</v>
      </c>
      <c r="B88">
        <v>87</v>
      </c>
      <c r="C88">
        <v>1</v>
      </c>
      <c r="D88" s="1">
        <v>98.19135901162791</v>
      </c>
      <c r="E88" s="1">
        <f t="shared" si="5"/>
        <v>85.10960703101324</v>
      </c>
      <c r="F88" s="1">
        <f t="shared" si="6"/>
        <v>95.464188301848679</v>
      </c>
      <c r="G88" s="5">
        <v>19798</v>
      </c>
      <c r="H88" s="4">
        <v>16850</v>
      </c>
      <c r="I88" s="5">
        <v>18900</v>
      </c>
      <c r="J88" s="5">
        <f t="shared" si="7"/>
        <v>2050</v>
      </c>
      <c r="K88" s="3">
        <v>21.111039795348841</v>
      </c>
      <c r="L88">
        <v>19.2</v>
      </c>
      <c r="M88" s="2">
        <v>0.10550532203488397</v>
      </c>
      <c r="N88">
        <v>34</v>
      </c>
    </row>
    <row r="89" spans="1:14" x14ac:dyDescent="0.45">
      <c r="A89" t="s">
        <v>12</v>
      </c>
      <c r="B89">
        <v>88</v>
      </c>
      <c r="C89">
        <v>3.6</v>
      </c>
      <c r="D89" s="1">
        <v>93.315498614958443</v>
      </c>
      <c r="E89" s="1">
        <f t="shared" si="5"/>
        <v>76.31578947368422</v>
      </c>
      <c r="F89" s="1">
        <f t="shared" si="6"/>
        <v>89.473684210526315</v>
      </c>
      <c r="G89" s="5">
        <v>1900</v>
      </c>
      <c r="H89" s="4">
        <v>1450</v>
      </c>
      <c r="I89" s="5">
        <v>1700</v>
      </c>
      <c r="J89" s="5">
        <f t="shared" si="7"/>
        <v>250</v>
      </c>
      <c r="K89" s="3">
        <v>9.0361772673130201</v>
      </c>
      <c r="L89">
        <v>7.7</v>
      </c>
      <c r="M89" s="2">
        <v>0.18220599099723009</v>
      </c>
      <c r="N89">
        <v>28</v>
      </c>
    </row>
    <row r="90" spans="1:14" x14ac:dyDescent="0.45">
      <c r="A90" t="s">
        <v>9</v>
      </c>
      <c r="B90">
        <v>89</v>
      </c>
      <c r="C90">
        <v>3.2</v>
      </c>
      <c r="D90" s="1">
        <v>113.07970840480276</v>
      </c>
      <c r="E90" s="1">
        <f t="shared" si="5"/>
        <v>90.102907004315455</v>
      </c>
      <c r="F90" s="1">
        <f t="shared" si="6"/>
        <v>96.030729833546729</v>
      </c>
      <c r="G90" s="5">
        <v>21087</v>
      </c>
      <c r="H90" s="4">
        <v>19000</v>
      </c>
      <c r="I90" s="5">
        <v>20250</v>
      </c>
      <c r="J90" s="5">
        <f t="shared" si="7"/>
        <v>1250</v>
      </c>
      <c r="K90" s="3">
        <v>20.558387368096053</v>
      </c>
      <c r="L90">
        <v>21.9</v>
      </c>
      <c r="M90" s="2">
        <v>-6.0648242264151012E-2</v>
      </c>
      <c r="N90">
        <v>41</v>
      </c>
    </row>
    <row r="91" spans="1:14" x14ac:dyDescent="0.45">
      <c r="A91" t="s">
        <v>11</v>
      </c>
      <c r="B91">
        <v>90</v>
      </c>
      <c r="C91">
        <v>3.9</v>
      </c>
      <c r="D91" s="1">
        <v>112.38402552204177</v>
      </c>
      <c r="E91" s="1">
        <f t="shared" si="5"/>
        <v>87.935476643889317</v>
      </c>
      <c r="F91" s="1">
        <f t="shared" si="6"/>
        <v>95.216758149434298</v>
      </c>
      <c r="G91" s="5">
        <v>17854</v>
      </c>
      <c r="H91" s="4">
        <v>15700</v>
      </c>
      <c r="I91" s="5">
        <v>17000</v>
      </c>
      <c r="J91" s="5">
        <f t="shared" si="7"/>
        <v>1300</v>
      </c>
      <c r="K91" s="3">
        <v>9.8865865600928071</v>
      </c>
      <c r="L91">
        <v>12.4</v>
      </c>
      <c r="M91" s="2">
        <v>-0.18445211534802786</v>
      </c>
      <c r="N91">
        <v>40</v>
      </c>
    </row>
    <row r="92" spans="1:14" x14ac:dyDescent="0.45">
      <c r="A92" t="s">
        <v>13</v>
      </c>
      <c r="B92">
        <v>91</v>
      </c>
      <c r="C92">
        <v>2.9</v>
      </c>
      <c r="D92" s="1">
        <v>97.225836363636361</v>
      </c>
      <c r="E92" s="1">
        <f t="shared" si="5"/>
        <v>76.66840913051054</v>
      </c>
      <c r="F92" s="1">
        <f t="shared" si="6"/>
        <v>89.736887959574844</v>
      </c>
      <c r="G92" s="5">
        <v>5739</v>
      </c>
      <c r="H92" s="4">
        <v>4400</v>
      </c>
      <c r="I92" s="5">
        <v>5150</v>
      </c>
      <c r="J92" s="5">
        <f t="shared" si="7"/>
        <v>750</v>
      </c>
      <c r="K92" s="3">
        <v>13.412028354545457</v>
      </c>
      <c r="L92">
        <v>14.5</v>
      </c>
      <c r="M92" s="2">
        <v>-7.5032527272727134E-2</v>
      </c>
      <c r="N92">
        <v>29</v>
      </c>
    </row>
    <row r="93" spans="1:14" x14ac:dyDescent="0.45">
      <c r="A93" t="s">
        <v>13</v>
      </c>
      <c r="B93">
        <v>92</v>
      </c>
      <c r="C93">
        <v>4.4000000000000004</v>
      </c>
      <c r="D93" s="1">
        <v>92.750836363636353</v>
      </c>
      <c r="E93" s="1">
        <f t="shared" si="5"/>
        <v>74.948055802908868</v>
      </c>
      <c r="F93" s="1">
        <f t="shared" si="6"/>
        <v>91.273374888691009</v>
      </c>
      <c r="G93" s="5">
        <v>6738</v>
      </c>
      <c r="H93" s="4">
        <v>5050</v>
      </c>
      <c r="I93" s="5">
        <v>6150</v>
      </c>
      <c r="J93" s="5">
        <f t="shared" si="7"/>
        <v>1100</v>
      </c>
      <c r="K93" s="3">
        <v>16.79521902545455</v>
      </c>
      <c r="L93">
        <v>14.5</v>
      </c>
      <c r="M93" s="2">
        <v>0.16937133498181844</v>
      </c>
      <c r="N93">
        <v>20</v>
      </c>
    </row>
    <row r="94" spans="1:14" x14ac:dyDescent="0.45">
      <c r="A94" t="s">
        <v>13</v>
      </c>
      <c r="B94">
        <v>93</v>
      </c>
      <c r="C94">
        <v>4.8</v>
      </c>
      <c r="D94" s="1">
        <v>99.205836363636365</v>
      </c>
      <c r="E94" s="1">
        <f t="shared" si="5"/>
        <v>76.306459071990133</v>
      </c>
      <c r="F94" s="1">
        <f t="shared" si="6"/>
        <v>83.243409896716514</v>
      </c>
      <c r="G94" s="5">
        <v>6487</v>
      </c>
      <c r="H94" s="4">
        <v>4950</v>
      </c>
      <c r="I94" s="5">
        <v>5400</v>
      </c>
      <c r="J94" s="5">
        <f t="shared" si="7"/>
        <v>450</v>
      </c>
      <c r="K94" s="3">
        <v>14.176699115454547</v>
      </c>
      <c r="L94">
        <v>14.5</v>
      </c>
      <c r="M94" s="2">
        <v>-2.0735849836363594E-2</v>
      </c>
      <c r="N94">
        <v>29</v>
      </c>
    </row>
    <row r="95" spans="1:14" x14ac:dyDescent="0.45">
      <c r="A95" t="s">
        <v>12</v>
      </c>
      <c r="B95">
        <v>94</v>
      </c>
      <c r="C95">
        <v>3.1</v>
      </c>
      <c r="D95" s="1">
        <v>94.955498614958444</v>
      </c>
      <c r="E95" s="1">
        <f t="shared" si="5"/>
        <v>74.983699195826986</v>
      </c>
      <c r="F95" s="1">
        <f t="shared" si="6"/>
        <v>90.19778309063247</v>
      </c>
      <c r="G95" s="5">
        <v>4601</v>
      </c>
      <c r="H95" s="4">
        <v>3450</v>
      </c>
      <c r="I95" s="5">
        <v>4150</v>
      </c>
      <c r="J95" s="5">
        <f t="shared" si="7"/>
        <v>700</v>
      </c>
      <c r="K95" s="3">
        <v>8.8972692673130211</v>
      </c>
      <c r="L95">
        <v>7.7</v>
      </c>
      <c r="M95" s="2">
        <v>0.13994056371191146</v>
      </c>
      <c r="N95">
        <v>32</v>
      </c>
    </row>
    <row r="96" spans="1:14" x14ac:dyDescent="0.45">
      <c r="A96" t="s">
        <v>13</v>
      </c>
      <c r="B96">
        <v>95</v>
      </c>
      <c r="C96">
        <v>1.6</v>
      </c>
      <c r="D96" s="1">
        <v>95.190836363636365</v>
      </c>
      <c r="E96" s="1">
        <f t="shared" si="5"/>
        <v>77.138849929873771</v>
      </c>
      <c r="F96" s="1">
        <f t="shared" si="6"/>
        <v>86.489013557737266</v>
      </c>
      <c r="G96" s="5">
        <v>2139</v>
      </c>
      <c r="H96" s="4">
        <v>1650</v>
      </c>
      <c r="I96" s="5">
        <v>1850</v>
      </c>
      <c r="J96" s="5">
        <f t="shared" si="7"/>
        <v>200</v>
      </c>
      <c r="K96" s="3">
        <v>14.133515716363638</v>
      </c>
      <c r="L96">
        <v>14.5</v>
      </c>
      <c r="M96" s="2">
        <v>-2.7296760436363563E-2</v>
      </c>
      <c r="N96">
        <v>32</v>
      </c>
    </row>
    <row r="97" spans="1:14" x14ac:dyDescent="0.45">
      <c r="A97" t="s">
        <v>12</v>
      </c>
      <c r="B97">
        <v>96</v>
      </c>
      <c r="C97">
        <v>3</v>
      </c>
      <c r="D97" s="1">
        <v>96.36549861495844</v>
      </c>
      <c r="E97" s="1">
        <f t="shared" si="5"/>
        <v>76.590730557737629</v>
      </c>
      <c r="F97" s="1">
        <f t="shared" si="6"/>
        <v>90.337784760408482</v>
      </c>
      <c r="G97" s="5">
        <v>5092</v>
      </c>
      <c r="H97" s="4">
        <v>3900</v>
      </c>
      <c r="I97" s="5">
        <v>4600</v>
      </c>
      <c r="J97" s="5">
        <f t="shared" si="7"/>
        <v>700</v>
      </c>
      <c r="K97" s="3">
        <v>7.4212666441828263</v>
      </c>
      <c r="L97">
        <v>7.7</v>
      </c>
      <c r="M97" s="2">
        <v>-3.7285111232686893E-2</v>
      </c>
      <c r="N97">
        <v>28</v>
      </c>
    </row>
    <row r="98" spans="1:14" x14ac:dyDescent="0.45">
      <c r="A98" t="s">
        <v>13</v>
      </c>
      <c r="B98">
        <v>97</v>
      </c>
      <c r="C98">
        <v>3.3</v>
      </c>
      <c r="D98" s="1">
        <v>97.160836363636363</v>
      </c>
      <c r="E98" s="1">
        <f t="shared" si="5"/>
        <v>76.74700417395988</v>
      </c>
      <c r="F98" s="1">
        <f t="shared" ref="F98:F129" si="8">I98/G98*100</f>
        <v>89.538171536286526</v>
      </c>
      <c r="G98" s="5">
        <v>7427</v>
      </c>
      <c r="H98" s="4">
        <v>5700</v>
      </c>
      <c r="I98" s="5">
        <v>6650</v>
      </c>
      <c r="J98" s="5">
        <f t="shared" si="7"/>
        <v>950</v>
      </c>
      <c r="K98" s="3">
        <v>15.657262663636365</v>
      </c>
      <c r="L98">
        <v>14.5</v>
      </c>
      <c r="M98" s="2">
        <v>7.6618769454545516E-2</v>
      </c>
      <c r="N98">
        <v>32</v>
      </c>
    </row>
    <row r="99" spans="1:14" x14ac:dyDescent="0.45">
      <c r="A99" t="s">
        <v>10</v>
      </c>
      <c r="B99">
        <v>98</v>
      </c>
      <c r="C99">
        <v>3.1</v>
      </c>
      <c r="D99" s="1">
        <v>99.176359011627909</v>
      </c>
      <c r="E99" s="1">
        <f t="shared" si="5"/>
        <v>83.013282125140023</v>
      </c>
      <c r="F99" s="1">
        <f t="shared" si="8"/>
        <v>96.415426468234926</v>
      </c>
      <c r="G99" s="5">
        <v>24996</v>
      </c>
      <c r="H99" s="4">
        <v>20750</v>
      </c>
      <c r="I99" s="5">
        <v>24100</v>
      </c>
      <c r="J99" s="5">
        <f t="shared" si="7"/>
        <v>3350</v>
      </c>
      <c r="K99" s="3">
        <v>19.551720460465116</v>
      </c>
      <c r="L99">
        <v>19.2</v>
      </c>
      <c r="M99" s="2">
        <v>1.8868337202034846E-2</v>
      </c>
      <c r="N99">
        <v>30</v>
      </c>
    </row>
    <row r="100" spans="1:14" x14ac:dyDescent="0.45">
      <c r="A100" t="s">
        <v>12</v>
      </c>
      <c r="B100">
        <v>99</v>
      </c>
      <c r="C100">
        <v>3.3</v>
      </c>
      <c r="D100" s="1">
        <v>91.960498614958439</v>
      </c>
      <c r="E100" s="1">
        <f t="shared" si="5"/>
        <v>79.341317365269461</v>
      </c>
      <c r="F100" s="1">
        <f t="shared" si="8"/>
        <v>86.82634730538922</v>
      </c>
      <c r="G100" s="5">
        <v>3340</v>
      </c>
      <c r="H100" s="4">
        <v>2650</v>
      </c>
      <c r="I100" s="5">
        <v>2900</v>
      </c>
      <c r="J100" s="5">
        <f t="shared" si="7"/>
        <v>250</v>
      </c>
      <c r="K100" s="3">
        <v>8.1526607745152369</v>
      </c>
      <c r="L100">
        <v>7.7</v>
      </c>
      <c r="M100" s="2">
        <v>5.5259886759002827E-2</v>
      </c>
      <c r="N100">
        <v>27</v>
      </c>
    </row>
    <row r="101" spans="1:14" x14ac:dyDescent="0.45">
      <c r="A101" t="s">
        <v>10</v>
      </c>
      <c r="B101">
        <v>100</v>
      </c>
      <c r="C101">
        <v>3.6</v>
      </c>
      <c r="D101" s="1">
        <v>101.0813590116279</v>
      </c>
      <c r="E101" s="1">
        <f t="shared" si="5"/>
        <v>80.144079243583974</v>
      </c>
      <c r="F101" s="1">
        <f t="shared" si="8"/>
        <v>86.897793786582625</v>
      </c>
      <c r="G101" s="5">
        <v>11105</v>
      </c>
      <c r="H101" s="4">
        <v>8900</v>
      </c>
      <c r="I101" s="5">
        <v>9650</v>
      </c>
      <c r="J101" s="5">
        <f t="shared" si="7"/>
        <v>750</v>
      </c>
      <c r="K101" s="3">
        <v>19.182302860465118</v>
      </c>
      <c r="L101">
        <v>19.2</v>
      </c>
      <c r="M101" s="2">
        <v>-9.2172601744178184E-4</v>
      </c>
      <c r="N101">
        <v>28</v>
      </c>
    </row>
  </sheetData>
  <sortState ref="A2:N101">
    <sortCondition ref="B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6"/>
  <sheetViews>
    <sheetView tabSelected="1" zoomScale="85" zoomScaleNormal="85" workbookViewId="0"/>
  </sheetViews>
  <sheetFormatPr defaultRowHeight="14.25" x14ac:dyDescent="0.45"/>
  <cols>
    <col min="1" max="1" width="9.53125" bestFit="1" customWidth="1"/>
    <col min="2" max="2" width="12.53125" bestFit="1" customWidth="1"/>
    <col min="3" max="3" width="7.53125" bestFit="1" customWidth="1"/>
    <col min="4" max="4" width="19.19921875" style="1" bestFit="1" customWidth="1"/>
    <col min="5" max="5" width="22.06640625" style="3" bestFit="1" customWidth="1"/>
    <col min="6" max="6" width="32.06640625" style="3" bestFit="1" customWidth="1"/>
    <col min="7" max="7" width="11.59765625" style="2" bestFit="1" customWidth="1"/>
  </cols>
  <sheetData>
    <row r="1" spans="1:7" x14ac:dyDescent="0.45">
      <c r="A1" t="s">
        <v>18</v>
      </c>
      <c r="B1" t="s">
        <v>0</v>
      </c>
      <c r="C1" t="s">
        <v>19</v>
      </c>
      <c r="D1" s="1" t="s">
        <v>3</v>
      </c>
      <c r="E1" s="3" t="s">
        <v>20</v>
      </c>
      <c r="F1" s="3" t="s">
        <v>21</v>
      </c>
      <c r="G1" s="2" t="s">
        <v>7</v>
      </c>
    </row>
    <row r="2" spans="1:7" x14ac:dyDescent="0.45">
      <c r="A2">
        <v>20150801</v>
      </c>
      <c r="B2" t="s">
        <v>14</v>
      </c>
      <c r="C2">
        <v>295</v>
      </c>
      <c r="D2" s="1">
        <v>99.353999999999999</v>
      </c>
      <c r="E2" s="3">
        <v>19.399999999999999</v>
      </c>
      <c r="F2" s="3">
        <v>17.3472084</v>
      </c>
      <c r="G2" s="2">
        <v>0.11833555882109525</v>
      </c>
    </row>
    <row r="3" spans="1:7" x14ac:dyDescent="0.45">
      <c r="A3">
        <v>20150801</v>
      </c>
      <c r="B3" t="s">
        <v>9</v>
      </c>
      <c r="C3">
        <v>156</v>
      </c>
      <c r="D3" s="1">
        <v>108.1156</v>
      </c>
      <c r="E3" s="3">
        <v>22.1</v>
      </c>
      <c r="F3" s="3">
        <v>25.327160456000001</v>
      </c>
      <c r="G3" s="2">
        <v>-0.12741896043207979</v>
      </c>
    </row>
    <row r="4" spans="1:7" x14ac:dyDescent="0.45">
      <c r="A4">
        <v>20150801</v>
      </c>
      <c r="B4" t="s">
        <v>15</v>
      </c>
      <c r="C4">
        <v>517</v>
      </c>
      <c r="D4" s="1">
        <v>93.0976</v>
      </c>
      <c r="E4" s="3">
        <v>13.9</v>
      </c>
      <c r="F4" s="3">
        <v>11.775915423999999</v>
      </c>
      <c r="G4" s="2">
        <v>0.18037532535865486</v>
      </c>
    </row>
    <row r="5" spans="1:7" x14ac:dyDescent="0.45">
      <c r="A5">
        <v>20150801</v>
      </c>
      <c r="B5" t="s">
        <v>16</v>
      </c>
      <c r="C5">
        <v>266</v>
      </c>
      <c r="D5" s="1">
        <v>92.769000000000005</v>
      </c>
      <c r="E5" s="3">
        <v>7.5</v>
      </c>
      <c r="F5" s="3">
        <v>6.6097912499999998</v>
      </c>
      <c r="G5" s="2">
        <v>0.13468031233210276</v>
      </c>
    </row>
    <row r="6" spans="1:7" x14ac:dyDescent="0.45">
      <c r="A6">
        <v>20150801</v>
      </c>
      <c r="B6" t="s">
        <v>17</v>
      </c>
      <c r="C6">
        <v>152</v>
      </c>
      <c r="D6" s="1">
        <v>107.096</v>
      </c>
      <c r="E6" s="3">
        <v>12.6</v>
      </c>
      <c r="F6" s="3">
        <v>13.089273119999998</v>
      </c>
      <c r="G6" s="2">
        <v>-3.7379701341276439E-2</v>
      </c>
    </row>
    <row r="7" spans="1:7" x14ac:dyDescent="0.45">
      <c r="A7">
        <v>20150802</v>
      </c>
      <c r="B7" t="s">
        <v>14</v>
      </c>
      <c r="C7">
        <v>284</v>
      </c>
      <c r="D7" s="1">
        <v>102.43397399999999</v>
      </c>
      <c r="E7" s="3">
        <v>19.555199999999999</v>
      </c>
      <c r="F7" s="3">
        <v>19.430233429138561</v>
      </c>
      <c r="G7" s="2">
        <v>6.4315527302947206E-3</v>
      </c>
    </row>
    <row r="8" spans="1:7" x14ac:dyDescent="0.45">
      <c r="A8">
        <v>20150802</v>
      </c>
      <c r="B8" t="s">
        <v>9</v>
      </c>
      <c r="C8">
        <v>158</v>
      </c>
      <c r="D8" s="1">
        <v>106.1695192</v>
      </c>
      <c r="E8" s="3">
        <v>23.1829</v>
      </c>
      <c r="F8" s="3">
        <v>24.859305201282968</v>
      </c>
      <c r="G8" s="2">
        <v>-6.7435722266141584E-2</v>
      </c>
    </row>
    <row r="9" spans="1:7" x14ac:dyDescent="0.45">
      <c r="A9">
        <v>20150802</v>
      </c>
      <c r="B9" t="s">
        <v>15</v>
      </c>
      <c r="C9">
        <v>536</v>
      </c>
      <c r="D9" s="1">
        <v>93.4699904</v>
      </c>
      <c r="E9" s="3">
        <v>14.247499999999999</v>
      </c>
      <c r="F9" s="3">
        <v>14.382507832819199</v>
      </c>
      <c r="G9" s="2">
        <v>-9.3869465873765989E-3</v>
      </c>
    </row>
    <row r="10" spans="1:7" x14ac:dyDescent="0.45">
      <c r="A10">
        <v>20150802</v>
      </c>
      <c r="B10" t="s">
        <v>16</v>
      </c>
      <c r="C10">
        <v>256</v>
      </c>
      <c r="D10" s="1">
        <v>92.305154999999999</v>
      </c>
      <c r="E10" s="3">
        <v>7.62</v>
      </c>
      <c r="F10" s="3">
        <v>6.8226432266699994</v>
      </c>
      <c r="G10" s="2">
        <v>0.11686918791431156</v>
      </c>
    </row>
    <row r="11" spans="1:7" x14ac:dyDescent="0.45">
      <c r="A11">
        <v>20150802</v>
      </c>
      <c r="B11" t="s">
        <v>17</v>
      </c>
      <c r="C11">
        <v>145</v>
      </c>
      <c r="D11" s="1">
        <v>103.88312000000001</v>
      </c>
      <c r="E11" s="3">
        <v>13.091399999999998</v>
      </c>
      <c r="F11" s="3">
        <v>12.647771937662402</v>
      </c>
      <c r="G11" s="2">
        <v>3.5075589955616326E-2</v>
      </c>
    </row>
    <row r="12" spans="1:7" x14ac:dyDescent="0.45">
      <c r="A12">
        <v>20150803</v>
      </c>
      <c r="B12" t="s">
        <v>14</v>
      </c>
      <c r="C12">
        <v>279</v>
      </c>
      <c r="D12" s="1">
        <v>100.692596442</v>
      </c>
      <c r="E12" s="3">
        <v>19.0858752</v>
      </c>
      <c r="F12" s="3">
        <v>20.178966457187745</v>
      </c>
      <c r="G12" s="2">
        <v>-5.4169833698216263E-2</v>
      </c>
    </row>
    <row r="13" spans="1:7" x14ac:dyDescent="0.45">
      <c r="A13">
        <v>20150803</v>
      </c>
      <c r="B13" t="s">
        <v>9</v>
      </c>
      <c r="C13">
        <v>159</v>
      </c>
      <c r="D13" s="1">
        <v>103.19677266239999</v>
      </c>
      <c r="E13" s="3">
        <v>23.808838299999998</v>
      </c>
      <c r="F13" s="3">
        <v>25.55275084336979</v>
      </c>
      <c r="G13" s="2">
        <v>-6.8247546186295915E-2</v>
      </c>
    </row>
    <row r="14" spans="1:7" x14ac:dyDescent="0.45">
      <c r="A14">
        <v>20150803</v>
      </c>
      <c r="B14" t="s">
        <v>15</v>
      </c>
      <c r="C14">
        <v>552</v>
      </c>
      <c r="D14" s="1">
        <v>91.881000563200004</v>
      </c>
      <c r="E14" s="3">
        <v>14.389974999999998</v>
      </c>
      <c r="F14" s="3">
        <v>12.42835383014668</v>
      </c>
      <c r="G14" s="2">
        <v>0.15783435173008487</v>
      </c>
    </row>
    <row r="15" spans="1:7" x14ac:dyDescent="0.45">
      <c r="A15">
        <v>20150803</v>
      </c>
      <c r="B15" t="s">
        <v>16</v>
      </c>
      <c r="C15">
        <v>245</v>
      </c>
      <c r="D15" s="1">
        <v>90.089831279999999</v>
      </c>
      <c r="E15" s="3">
        <v>7.5590400000000004</v>
      </c>
      <c r="F15" s="3">
        <v>6.9461249100354658</v>
      </c>
      <c r="G15" s="2">
        <v>8.8238420400275297E-2</v>
      </c>
    </row>
    <row r="16" spans="1:7" x14ac:dyDescent="0.45">
      <c r="A16">
        <v>20150803</v>
      </c>
      <c r="B16" t="s">
        <v>17</v>
      </c>
      <c r="C16">
        <v>138</v>
      </c>
      <c r="D16" s="1">
        <v>102.01322384000001</v>
      </c>
      <c r="E16" s="3">
        <v>13.156856999999997</v>
      </c>
      <c r="F16" s="3">
        <v>14.22703802062183</v>
      </c>
      <c r="G16" s="2">
        <v>-7.5221632153553375E-2</v>
      </c>
    </row>
    <row r="17" spans="1:7" x14ac:dyDescent="0.45">
      <c r="A17">
        <v>20150804</v>
      </c>
      <c r="B17" t="s">
        <v>14</v>
      </c>
      <c r="C17">
        <v>285</v>
      </c>
      <c r="D17" s="1">
        <v>101.69952240642</v>
      </c>
      <c r="E17" s="3">
        <v>18.207924940799998</v>
      </c>
      <c r="F17" s="3">
        <v>19.443241340158682</v>
      </c>
      <c r="G17" s="2">
        <v>-6.3534488810115364E-2</v>
      </c>
    </row>
    <row r="18" spans="1:7" x14ac:dyDescent="0.45">
      <c r="A18">
        <v>20150804</v>
      </c>
      <c r="B18" t="s">
        <v>9</v>
      </c>
      <c r="C18">
        <v>154</v>
      </c>
      <c r="D18" s="1">
        <v>104.4351339343488</v>
      </c>
      <c r="E18" s="3">
        <v>22.737440576499996</v>
      </c>
      <c r="F18" s="3">
        <v>22.083665162958987</v>
      </c>
      <c r="G18" s="2">
        <v>2.9604479542534756E-2</v>
      </c>
    </row>
    <row r="19" spans="1:7" x14ac:dyDescent="0.45">
      <c r="A19">
        <v>20150804</v>
      </c>
      <c r="B19" t="s">
        <v>15</v>
      </c>
      <c r="C19">
        <v>544</v>
      </c>
      <c r="D19" s="1">
        <v>91.605357561510402</v>
      </c>
      <c r="E19" s="3">
        <v>13.871935899999997</v>
      </c>
      <c r="F19" s="3">
        <v>11.563767198527657</v>
      </c>
      <c r="G19" s="2">
        <v>0.19960352555058569</v>
      </c>
    </row>
    <row r="20" spans="1:7" x14ac:dyDescent="0.45">
      <c r="A20">
        <v>20150804</v>
      </c>
      <c r="B20" t="s">
        <v>16</v>
      </c>
      <c r="C20">
        <v>255</v>
      </c>
      <c r="D20" s="1">
        <v>93.15288554352</v>
      </c>
      <c r="E20" s="3">
        <v>7.7026617599999998</v>
      </c>
      <c r="F20" s="3">
        <v>7.1752516930972829</v>
      </c>
      <c r="G20" s="2">
        <v>7.3504051071838328E-2</v>
      </c>
    </row>
    <row r="21" spans="1:7" x14ac:dyDescent="0.45">
      <c r="A21">
        <v>20150804</v>
      </c>
      <c r="B21" t="s">
        <v>17</v>
      </c>
      <c r="C21">
        <v>142</v>
      </c>
      <c r="D21" s="1">
        <v>103.74744864528</v>
      </c>
      <c r="E21" s="3">
        <v>12.775308146999997</v>
      </c>
      <c r="F21" s="3">
        <v>13.121515696494241</v>
      </c>
      <c r="G21" s="2">
        <v>-2.6384722428579033E-2</v>
      </c>
    </row>
    <row r="22" spans="1:7" x14ac:dyDescent="0.45">
      <c r="A22">
        <v>20150805</v>
      </c>
      <c r="B22" t="s">
        <v>14</v>
      </c>
      <c r="C22">
        <v>284</v>
      </c>
      <c r="D22" s="1">
        <v>100.6825271823558</v>
      </c>
      <c r="E22" s="3">
        <v>18.007637766451197</v>
      </c>
      <c r="F22" s="3">
        <v>17.767933893325246</v>
      </c>
      <c r="G22" s="2">
        <v>1.3490812976065802E-2</v>
      </c>
    </row>
    <row r="23" spans="1:7" x14ac:dyDescent="0.45">
      <c r="A23">
        <v>20150805</v>
      </c>
      <c r="B23" t="s">
        <v>9</v>
      </c>
      <c r="C23">
        <v>157</v>
      </c>
      <c r="D23" s="1">
        <v>107.98592848811666</v>
      </c>
      <c r="E23" s="3">
        <v>23.601463318406996</v>
      </c>
      <c r="F23" s="3">
        <v>27.270297452245551</v>
      </c>
      <c r="G23" s="2">
        <v>-0.13453590450427766</v>
      </c>
    </row>
    <row r="24" spans="1:7" x14ac:dyDescent="0.45">
      <c r="A24">
        <v>20150805</v>
      </c>
      <c r="B24" t="s">
        <v>15</v>
      </c>
      <c r="C24">
        <v>559</v>
      </c>
      <c r="D24" s="1">
        <v>90.506093270772283</v>
      </c>
      <c r="E24" s="3">
        <v>13.497393630699996</v>
      </c>
      <c r="F24" s="3">
        <v>11.605165485098384</v>
      </c>
      <c r="G24" s="2">
        <v>0.16305050953657907</v>
      </c>
    </row>
    <row r="25" spans="1:7" x14ac:dyDescent="0.45">
      <c r="A25">
        <v>20150805</v>
      </c>
      <c r="B25" t="s">
        <v>16</v>
      </c>
      <c r="C25">
        <v>254</v>
      </c>
      <c r="D25" s="1">
        <v>92.873426886889433</v>
      </c>
      <c r="E25" s="3">
        <v>8.049281539199999</v>
      </c>
      <c r="F25" s="3">
        <v>7.0271049889150712</v>
      </c>
      <c r="G25" s="2">
        <v>0.14546197216312606</v>
      </c>
    </row>
    <row r="26" spans="1:7" x14ac:dyDescent="0.45">
      <c r="A26">
        <v>20150805</v>
      </c>
      <c r="B26" t="s">
        <v>17</v>
      </c>
      <c r="C26">
        <v>139</v>
      </c>
      <c r="D26" s="1">
        <v>101.153762429148</v>
      </c>
      <c r="E26" s="3">
        <v>12.890285920322995</v>
      </c>
      <c r="F26" s="3">
        <v>12.517448828430179</v>
      </c>
      <c r="G26" s="2">
        <v>2.9785389739002799E-2</v>
      </c>
    </row>
    <row r="27" spans="1:7" x14ac:dyDescent="0.45">
      <c r="A27">
        <v>20150806</v>
      </c>
      <c r="B27" t="s">
        <v>14</v>
      </c>
      <c r="C27">
        <v>291</v>
      </c>
      <c r="D27" s="1">
        <v>101.89071750854407</v>
      </c>
      <c r="E27" s="3">
        <v>18.565874537211183</v>
      </c>
      <c r="F27" s="3">
        <v>18.53856472214655</v>
      </c>
      <c r="G27" s="2">
        <v>1.4731353518435686E-3</v>
      </c>
    </row>
    <row r="28" spans="1:7" x14ac:dyDescent="0.45">
      <c r="A28">
        <v>20150806</v>
      </c>
      <c r="B28" t="s">
        <v>9</v>
      </c>
      <c r="C28">
        <v>159</v>
      </c>
      <c r="D28" s="1">
        <v>107.23002698869983</v>
      </c>
      <c r="E28" s="3">
        <v>22.6102018590339</v>
      </c>
      <c r="F28" s="3">
        <v>24.972273322310809</v>
      </c>
      <c r="G28" s="2">
        <v>-9.4587762707473599E-2</v>
      </c>
    </row>
    <row r="29" spans="1:7" x14ac:dyDescent="0.45">
      <c r="A29">
        <v>20150806</v>
      </c>
      <c r="B29" t="s">
        <v>15</v>
      </c>
      <c r="C29">
        <v>559</v>
      </c>
      <c r="D29" s="1">
        <v>88.514959218815292</v>
      </c>
      <c r="E29" s="3">
        <v>12.863016130057096</v>
      </c>
      <c r="F29" s="3">
        <v>10.474838003283299</v>
      </c>
      <c r="G29" s="2">
        <v>0.22799189123738528</v>
      </c>
    </row>
    <row r="30" spans="1:7" x14ac:dyDescent="0.45">
      <c r="A30">
        <v>20150806</v>
      </c>
      <c r="B30" t="s">
        <v>16</v>
      </c>
      <c r="C30">
        <v>259</v>
      </c>
      <c r="D30" s="1">
        <v>91.944692618020539</v>
      </c>
      <c r="E30" s="3">
        <v>8.1619714807487984</v>
      </c>
      <c r="F30" s="3">
        <v>8.1048595567085826</v>
      </c>
      <c r="G30" s="2">
        <v>7.0466272290854448E-3</v>
      </c>
    </row>
    <row r="31" spans="1:7" x14ac:dyDescent="0.45">
      <c r="A31">
        <v>20150806</v>
      </c>
      <c r="B31" t="s">
        <v>17</v>
      </c>
      <c r="C31">
        <v>145</v>
      </c>
      <c r="D31" s="1">
        <v>103.07568391530181</v>
      </c>
      <c r="E31" s="3">
        <v>12.47779677087266</v>
      </c>
      <c r="F31" s="3">
        <v>11.704032666815978</v>
      </c>
      <c r="G31" s="2">
        <v>6.6110897507190458E-2</v>
      </c>
    </row>
    <row r="32" spans="1:7" x14ac:dyDescent="0.45">
      <c r="A32">
        <v>20150807</v>
      </c>
      <c r="B32" t="s">
        <v>14</v>
      </c>
      <c r="C32">
        <v>293</v>
      </c>
      <c r="D32" s="1">
        <v>104.23420401124058</v>
      </c>
      <c r="E32" s="3">
        <v>19.382773016848475</v>
      </c>
      <c r="F32" s="3">
        <v>18.789235627558302</v>
      </c>
      <c r="G32" s="2">
        <v>3.1589224865519627E-2</v>
      </c>
    </row>
    <row r="33" spans="1:7" x14ac:dyDescent="0.45">
      <c r="A33">
        <v>20150807</v>
      </c>
      <c r="B33" t="s">
        <v>9</v>
      </c>
      <c r="C33">
        <v>163</v>
      </c>
      <c r="D33" s="1">
        <v>105.83603663784673</v>
      </c>
      <c r="E33" s="3">
        <v>23.265897712945883</v>
      </c>
      <c r="F33" s="3">
        <v>22.161333624837617</v>
      </c>
      <c r="G33" s="2">
        <v>4.9841950254758682E-2</v>
      </c>
    </row>
    <row r="34" spans="1:7" x14ac:dyDescent="0.45">
      <c r="A34">
        <v>20150807</v>
      </c>
      <c r="B34" t="s">
        <v>15</v>
      </c>
      <c r="C34">
        <v>560</v>
      </c>
      <c r="D34" s="1">
        <v>90.639318240066856</v>
      </c>
      <c r="E34" s="3">
        <v>13.287495662348979</v>
      </c>
      <c r="F34" s="3">
        <v>13.24806502748473</v>
      </c>
      <c r="G34" s="2">
        <v>2.9763316214439506E-3</v>
      </c>
    </row>
    <row r="35" spans="1:7" x14ac:dyDescent="0.45">
      <c r="A35">
        <v>20150807</v>
      </c>
      <c r="B35" t="s">
        <v>16</v>
      </c>
      <c r="C35">
        <v>255</v>
      </c>
      <c r="D35" s="1">
        <v>94.335254626089082</v>
      </c>
      <c r="E35" s="3">
        <v>8.4721263970172522</v>
      </c>
      <c r="F35" s="3">
        <v>8.1520460490477369</v>
      </c>
      <c r="G35" s="2">
        <v>3.9263805189974965E-2</v>
      </c>
    </row>
    <row r="36" spans="1:7" x14ac:dyDescent="0.45">
      <c r="A36">
        <v>20150807</v>
      </c>
      <c r="B36" t="s">
        <v>17</v>
      </c>
      <c r="C36">
        <v>149</v>
      </c>
      <c r="D36" s="1">
        <v>105.13719759360785</v>
      </c>
      <c r="E36" s="3">
        <v>12.640008128894003</v>
      </c>
      <c r="F36" s="3">
        <v>14.618285354555722</v>
      </c>
      <c r="G36" s="2">
        <v>-0.13532895121965849</v>
      </c>
    </row>
    <row r="37" spans="1:7" x14ac:dyDescent="0.45">
      <c r="A37">
        <v>20150808</v>
      </c>
      <c r="B37" t="s">
        <v>14</v>
      </c>
      <c r="C37">
        <v>285</v>
      </c>
      <c r="D37" s="1">
        <v>106.3188880914654</v>
      </c>
      <c r="E37" s="3">
        <v>18.588079323157686</v>
      </c>
      <c r="F37" s="3">
        <v>17.786375328546754</v>
      </c>
      <c r="G37" s="2">
        <v>4.507405133434994E-2</v>
      </c>
    </row>
    <row r="38" spans="1:7" x14ac:dyDescent="0.45">
      <c r="A38">
        <v>20150808</v>
      </c>
      <c r="B38" t="s">
        <v>9</v>
      </c>
      <c r="C38">
        <v>168</v>
      </c>
      <c r="D38" s="1">
        <v>105.62436456457104</v>
      </c>
      <c r="E38" s="3">
        <v>23.707949769491851</v>
      </c>
      <c r="F38" s="3">
        <v>26.293439860079125</v>
      </c>
      <c r="G38" s="2">
        <v>-9.8332135481169147E-2</v>
      </c>
    </row>
    <row r="39" spans="1:7" x14ac:dyDescent="0.45">
      <c r="A39">
        <v>20150808</v>
      </c>
      <c r="B39" t="s">
        <v>15</v>
      </c>
      <c r="C39">
        <v>549</v>
      </c>
      <c r="D39" s="1">
        <v>88.010778011104918</v>
      </c>
      <c r="E39" s="3">
        <v>12.636408374893879</v>
      </c>
      <c r="F39" s="3">
        <v>11.67747138957475</v>
      </c>
      <c r="G39" s="2">
        <v>8.2118547186100121E-2</v>
      </c>
    </row>
    <row r="40" spans="1:7" x14ac:dyDescent="0.45">
      <c r="A40">
        <v>20150808</v>
      </c>
      <c r="B40" t="s">
        <v>16</v>
      </c>
      <c r="C40">
        <v>252</v>
      </c>
      <c r="D40" s="1">
        <v>94.523925135341258</v>
      </c>
      <c r="E40" s="3">
        <v>8.2518511106948029</v>
      </c>
      <c r="F40" s="3">
        <v>7.0979759451992139</v>
      </c>
      <c r="G40" s="2">
        <v>0.16256397237807274</v>
      </c>
    </row>
    <row r="41" spans="1:7" x14ac:dyDescent="0.45">
      <c r="A41">
        <v>20150808</v>
      </c>
      <c r="B41" t="s">
        <v>17</v>
      </c>
      <c r="C41">
        <v>151</v>
      </c>
      <c r="D41" s="1">
        <v>103.66527682729733</v>
      </c>
      <c r="E41" s="3">
        <v>12.210247852511607</v>
      </c>
      <c r="F41" s="3">
        <v>12.151475748101072</v>
      </c>
      <c r="G41" s="2">
        <v>4.8366227797245198E-3</v>
      </c>
    </row>
    <row r="42" spans="1:7" x14ac:dyDescent="0.45">
      <c r="A42">
        <v>20150809</v>
      </c>
      <c r="B42" t="s">
        <v>14</v>
      </c>
      <c r="C42">
        <v>300</v>
      </c>
      <c r="D42" s="1">
        <v>106.3188880914654</v>
      </c>
      <c r="E42" s="3">
        <v>18.011848864139797</v>
      </c>
      <c r="F42" s="3">
        <v>20.681997232034163</v>
      </c>
      <c r="G42" s="2">
        <v>-0.12910495722137505</v>
      </c>
    </row>
    <row r="43" spans="1:7" x14ac:dyDescent="0.45">
      <c r="A43">
        <v>20150809</v>
      </c>
      <c r="B43" t="s">
        <v>9</v>
      </c>
      <c r="C43">
        <v>161</v>
      </c>
      <c r="D43" s="1">
        <v>106.36373511652303</v>
      </c>
      <c r="E43" s="3">
        <v>24.822223408657965</v>
      </c>
      <c r="F43" s="3">
        <v>24.553714879467375</v>
      </c>
      <c r="G43" s="2">
        <v>1.0935556208446773E-2</v>
      </c>
    </row>
    <row r="44" spans="1:7" x14ac:dyDescent="0.45">
      <c r="A44">
        <v>20150809</v>
      </c>
      <c r="B44" t="s">
        <v>15</v>
      </c>
      <c r="C44">
        <v>543</v>
      </c>
      <c r="D44" s="1">
        <v>89.682982793315901</v>
      </c>
      <c r="E44" s="3">
        <v>12.724863233518136</v>
      </c>
      <c r="F44" s="3">
        <v>10.613194320895818</v>
      </c>
      <c r="G44" s="2">
        <v>0.19896638549854417</v>
      </c>
    </row>
    <row r="45" spans="1:7" x14ac:dyDescent="0.45">
      <c r="A45">
        <v>20150809</v>
      </c>
      <c r="B45" t="s">
        <v>16</v>
      </c>
      <c r="C45">
        <v>242</v>
      </c>
      <c r="D45" s="1">
        <v>94.334877285070576</v>
      </c>
      <c r="E45" s="3">
        <v>8.6891992195616261</v>
      </c>
      <c r="F45" s="3">
        <v>7.86906760399562</v>
      </c>
      <c r="G45" s="2">
        <v>0.10422220990318776</v>
      </c>
    </row>
    <row r="46" spans="1:7" x14ac:dyDescent="0.45">
      <c r="A46">
        <v>20150809</v>
      </c>
      <c r="B46" t="s">
        <v>17</v>
      </c>
      <c r="C46">
        <v>144</v>
      </c>
      <c r="D46" s="1">
        <v>101.90296712123327</v>
      </c>
      <c r="E46" s="3">
        <v>11.819519921231235</v>
      </c>
      <c r="F46" s="3">
        <v>13.007996819157469</v>
      </c>
      <c r="G46" s="2">
        <v>-9.1365097520312299E-2</v>
      </c>
    </row>
    <row r="47" spans="1:7" x14ac:dyDescent="0.45">
      <c r="A47">
        <v>20150810</v>
      </c>
      <c r="B47" t="s">
        <v>14</v>
      </c>
      <c r="C47">
        <v>305</v>
      </c>
      <c r="D47" s="1">
        <v>103.12932144872143</v>
      </c>
      <c r="E47" s="3">
        <v>18.264014748237756</v>
      </c>
      <c r="F47" s="3">
        <v>16.951999031236806</v>
      </c>
      <c r="G47" s="2">
        <v>7.7395929210670067E-2</v>
      </c>
    </row>
    <row r="48" spans="1:7" x14ac:dyDescent="0.45">
      <c r="A48">
        <v>20150810</v>
      </c>
      <c r="B48" t="s">
        <v>9</v>
      </c>
      <c r="C48">
        <v>161</v>
      </c>
      <c r="D48" s="1">
        <v>104.02373294395952</v>
      </c>
      <c r="E48" s="3">
        <v>24.027912259580908</v>
      </c>
      <c r="F48" s="3">
        <v>24.494836655297046</v>
      </c>
      <c r="G48" s="2">
        <v>-1.9062155926447666E-2</v>
      </c>
    </row>
    <row r="49" spans="1:7" x14ac:dyDescent="0.45">
      <c r="A49">
        <v>20150810</v>
      </c>
      <c r="B49" t="s">
        <v>15</v>
      </c>
      <c r="C49">
        <v>529</v>
      </c>
      <c r="D49" s="1">
        <v>92.642521225495315</v>
      </c>
      <c r="E49" s="3">
        <v>12.953910771721462</v>
      </c>
      <c r="F49" s="3">
        <v>12.600871013034968</v>
      </c>
      <c r="G49" s="2">
        <v>2.8017091701144414E-2</v>
      </c>
    </row>
    <row r="50" spans="1:7" x14ac:dyDescent="0.45">
      <c r="A50">
        <v>20150810</v>
      </c>
      <c r="B50" t="s">
        <v>16</v>
      </c>
      <c r="C50">
        <v>242</v>
      </c>
      <c r="D50" s="1">
        <v>92.165175107513946</v>
      </c>
      <c r="E50" s="3">
        <v>8.6631316219029415</v>
      </c>
      <c r="F50" s="3">
        <v>7.7448587162476228</v>
      </c>
      <c r="G50" s="2">
        <v>0.11856548186333105</v>
      </c>
    </row>
    <row r="51" spans="1:7" x14ac:dyDescent="0.45">
      <c r="A51">
        <v>20150810</v>
      </c>
      <c r="B51" t="s">
        <v>17</v>
      </c>
      <c r="C51">
        <v>146</v>
      </c>
      <c r="D51" s="1">
        <v>100.88393745002094</v>
      </c>
      <c r="E51" s="3">
        <v>11.464934323594298</v>
      </c>
      <c r="F51" s="3">
        <v>12.491579345436921</v>
      </c>
      <c r="G51" s="2">
        <v>-8.218696719223495E-2</v>
      </c>
    </row>
    <row r="52" spans="1:7" x14ac:dyDescent="0.45">
      <c r="A52">
        <v>20150811</v>
      </c>
      <c r="B52" t="s">
        <v>14</v>
      </c>
      <c r="C52">
        <v>308</v>
      </c>
      <c r="D52" s="1">
        <v>103.9543560203112</v>
      </c>
      <c r="E52" s="3">
        <v>18.209222703993042</v>
      </c>
      <c r="F52" s="3">
        <v>20.443622614099485</v>
      </c>
      <c r="G52" s="2">
        <v>-0.10929569344355972</v>
      </c>
    </row>
    <row r="53" spans="1:7" x14ac:dyDescent="0.45">
      <c r="A53">
        <v>20150811</v>
      </c>
      <c r="B53" t="s">
        <v>9</v>
      </c>
      <c r="C53">
        <v>169</v>
      </c>
      <c r="D53" s="1">
        <v>104.64787534162328</v>
      </c>
      <c r="E53" s="3">
        <v>24.652637978330013</v>
      </c>
      <c r="F53" s="3">
        <v>27.346369571583537</v>
      </c>
      <c r="G53" s="2">
        <v>-9.8504175707939789E-2</v>
      </c>
    </row>
    <row r="54" spans="1:7" x14ac:dyDescent="0.45">
      <c r="A54">
        <v>20150811</v>
      </c>
      <c r="B54" t="s">
        <v>15</v>
      </c>
      <c r="C54">
        <v>533</v>
      </c>
      <c r="D54" s="1">
        <v>93.47630391652477</v>
      </c>
      <c r="E54" s="3">
        <v>13.523882845677207</v>
      </c>
      <c r="F54" s="3">
        <v>12.135960796934384</v>
      </c>
      <c r="G54" s="2">
        <v>0.11436441431925348</v>
      </c>
    </row>
    <row r="55" spans="1:7" x14ac:dyDescent="0.45">
      <c r="A55">
        <v>20150811</v>
      </c>
      <c r="B55" t="s">
        <v>16</v>
      </c>
      <c r="C55">
        <v>239</v>
      </c>
      <c r="D55" s="1">
        <v>92.441670632836477</v>
      </c>
      <c r="E55" s="3">
        <v>8.3685851467582406</v>
      </c>
      <c r="F55" s="3">
        <v>7.3492569220949919</v>
      </c>
      <c r="G55" s="2">
        <v>0.13869813444658807</v>
      </c>
    </row>
    <row r="56" spans="1:7" x14ac:dyDescent="0.45">
      <c r="A56">
        <v>20150811</v>
      </c>
      <c r="B56" t="s">
        <v>17</v>
      </c>
      <c r="C56">
        <v>139</v>
      </c>
      <c r="D56" s="1">
        <v>103.91045557352157</v>
      </c>
      <c r="E56" s="3">
        <v>11.969391433832447</v>
      </c>
      <c r="F56" s="3">
        <v>12.561823659956097</v>
      </c>
      <c r="G56" s="2">
        <v>-4.7161323241001529E-2</v>
      </c>
    </row>
    <row r="57" spans="1:7" x14ac:dyDescent="0.45">
      <c r="A57">
        <v>20150812</v>
      </c>
      <c r="B57" t="s">
        <v>14</v>
      </c>
      <c r="C57">
        <v>302</v>
      </c>
      <c r="D57" s="1">
        <v>103.85040166429089</v>
      </c>
      <c r="E57" s="3">
        <v>18.79191783052082</v>
      </c>
      <c r="F57" s="3">
        <v>20.491256254790336</v>
      </c>
      <c r="G57" s="2">
        <v>-8.2929928899417971E-2</v>
      </c>
    </row>
    <row r="58" spans="1:7" x14ac:dyDescent="0.45">
      <c r="A58">
        <v>20150812</v>
      </c>
      <c r="B58" t="s">
        <v>9</v>
      </c>
      <c r="C58">
        <v>173</v>
      </c>
      <c r="D58" s="1">
        <v>106.11294559640601</v>
      </c>
      <c r="E58" s="3">
        <v>25.367564479701581</v>
      </c>
      <c r="F58" s="3">
        <v>27.45663529338853</v>
      </c>
      <c r="G58" s="2">
        <v>-7.6086191602289688E-2</v>
      </c>
    </row>
    <row r="59" spans="1:7" x14ac:dyDescent="0.45">
      <c r="A59">
        <v>20150812</v>
      </c>
      <c r="B59" t="s">
        <v>15</v>
      </c>
      <c r="C59">
        <v>511</v>
      </c>
      <c r="D59" s="1">
        <v>95.532782602688314</v>
      </c>
      <c r="E59" s="3">
        <v>13.104642477461214</v>
      </c>
      <c r="F59" s="3">
        <v>12.394037312764045</v>
      </c>
      <c r="G59" s="2">
        <v>5.7334438066064974E-2</v>
      </c>
    </row>
    <row r="60" spans="1:7" x14ac:dyDescent="0.45">
      <c r="A60">
        <v>20150812</v>
      </c>
      <c r="B60" t="s">
        <v>16</v>
      </c>
      <c r="C60">
        <v>239</v>
      </c>
      <c r="D60" s="1">
        <v>90.685278890812583</v>
      </c>
      <c r="E60" s="3">
        <v>8.1593705180892844</v>
      </c>
      <c r="F60" s="3">
        <v>8.0652892219697669</v>
      </c>
      <c r="G60" s="2">
        <v>1.1664962474407181E-2</v>
      </c>
    </row>
    <row r="61" spans="1:7" x14ac:dyDescent="0.45">
      <c r="A61">
        <v>20150812</v>
      </c>
      <c r="B61" t="s">
        <v>17</v>
      </c>
      <c r="C61">
        <v>140</v>
      </c>
      <c r="D61" s="1">
        <v>100.79314190631592</v>
      </c>
      <c r="E61" s="3">
        <v>12.005299608133944</v>
      </c>
      <c r="F61" s="3">
        <v>12.947554977226176</v>
      </c>
      <c r="G61" s="2">
        <v>-7.2774772592168246E-2</v>
      </c>
    </row>
    <row r="62" spans="1:7" x14ac:dyDescent="0.45">
      <c r="A62">
        <v>20150813</v>
      </c>
      <c r="B62" t="s">
        <v>14</v>
      </c>
      <c r="C62">
        <v>315</v>
      </c>
      <c r="D62" s="1">
        <v>100.94259041769074</v>
      </c>
      <c r="E62" s="3">
        <v>19.224131940622797</v>
      </c>
      <c r="F62" s="3">
        <v>17.658856457223191</v>
      </c>
      <c r="G62" s="2">
        <v>8.8639685542001523E-2</v>
      </c>
    </row>
    <row r="63" spans="1:7" x14ac:dyDescent="0.45">
      <c r="A63">
        <v>20150813</v>
      </c>
      <c r="B63" t="s">
        <v>9</v>
      </c>
      <c r="C63">
        <v>167</v>
      </c>
      <c r="D63" s="1">
        <v>104.41513846686351</v>
      </c>
      <c r="E63" s="3">
        <v>24.327494336033816</v>
      </c>
      <c r="F63" s="3">
        <v>22.861428206839278</v>
      </c>
      <c r="G63" s="2">
        <v>6.4128370105763777E-2</v>
      </c>
    </row>
    <row r="64" spans="1:7" x14ac:dyDescent="0.45">
      <c r="A64">
        <v>20150813</v>
      </c>
      <c r="B64" t="s">
        <v>15</v>
      </c>
      <c r="C64">
        <v>488</v>
      </c>
      <c r="D64" s="1">
        <v>95.05511868967487</v>
      </c>
      <c r="E64" s="3">
        <v>13.51088639426251</v>
      </c>
      <c r="F64" s="3">
        <v>12.457505425150561</v>
      </c>
      <c r="G64" s="2">
        <v>8.4557937818374951E-2</v>
      </c>
    </row>
    <row r="65" spans="1:7" x14ac:dyDescent="0.45">
      <c r="A65">
        <v>20150813</v>
      </c>
      <c r="B65" t="s">
        <v>16</v>
      </c>
      <c r="C65">
        <v>237</v>
      </c>
      <c r="D65" s="1">
        <v>92.408299189738017</v>
      </c>
      <c r="E65" s="3">
        <v>8.3633547810415152</v>
      </c>
      <c r="F65" s="3">
        <v>7.5738652301968203</v>
      </c>
      <c r="G65" s="2">
        <v>0.10423865844575886</v>
      </c>
    </row>
    <row r="66" spans="1:7" x14ac:dyDescent="0.45">
      <c r="A66">
        <v>20150813</v>
      </c>
      <c r="B66" t="s">
        <v>17</v>
      </c>
      <c r="C66">
        <v>147</v>
      </c>
      <c r="D66" s="1">
        <v>103.31297045397382</v>
      </c>
      <c r="E66" s="3">
        <v>11.921262510877007</v>
      </c>
      <c r="F66" s="3">
        <v>12.19304831144699</v>
      </c>
      <c r="G66" s="2">
        <v>-2.2290225842443889E-2</v>
      </c>
    </row>
    <row r="67" spans="1:7" x14ac:dyDescent="0.45">
      <c r="A67">
        <v>20150814</v>
      </c>
      <c r="B67" t="s">
        <v>14</v>
      </c>
      <c r="C67">
        <v>326</v>
      </c>
      <c r="D67" s="1">
        <v>98.015255295577703</v>
      </c>
      <c r="E67" s="3">
        <v>20.243010933475805</v>
      </c>
      <c r="F67" s="3">
        <v>19.444414069038856</v>
      </c>
      <c r="G67" s="2">
        <v>4.1070760044579879E-2</v>
      </c>
    </row>
    <row r="68" spans="1:7" x14ac:dyDescent="0.45">
      <c r="A68">
        <v>20150814</v>
      </c>
      <c r="B68" t="s">
        <v>9</v>
      </c>
      <c r="C68">
        <v>163</v>
      </c>
      <c r="D68" s="1">
        <v>101.80476000519192</v>
      </c>
      <c r="E68" s="3">
        <v>25.300594109475171</v>
      </c>
      <c r="F68" s="3">
        <v>25.242064930778142</v>
      </c>
      <c r="G68" s="2">
        <v>2.3187159551936176E-3</v>
      </c>
    </row>
    <row r="69" spans="1:7" x14ac:dyDescent="0.45">
      <c r="A69">
        <v>20150814</v>
      </c>
      <c r="B69" t="s">
        <v>15</v>
      </c>
      <c r="C69">
        <v>487</v>
      </c>
      <c r="D69" s="1">
        <v>97.336441538227064</v>
      </c>
      <c r="E69" s="3">
        <v>13.645995258205135</v>
      </c>
      <c r="F69" s="3">
        <v>13.548176720748319</v>
      </c>
      <c r="G69" s="2">
        <v>7.2200517806215725E-3</v>
      </c>
    </row>
    <row r="70" spans="1:7" x14ac:dyDescent="0.45">
      <c r="A70">
        <v>20150814</v>
      </c>
      <c r="B70" t="s">
        <v>16</v>
      </c>
      <c r="C70">
        <v>228</v>
      </c>
      <c r="D70" s="1">
        <v>91.484216197840638</v>
      </c>
      <c r="E70" s="3">
        <v>8.6644355531590094</v>
      </c>
      <c r="F70" s="3">
        <v>7.2131977679348473</v>
      </c>
      <c r="G70" s="2">
        <v>0.2011920138493104</v>
      </c>
    </row>
    <row r="71" spans="1:7" x14ac:dyDescent="0.45">
      <c r="A71">
        <v>20150814</v>
      </c>
      <c r="B71" t="s">
        <v>17</v>
      </c>
      <c r="C71">
        <v>146</v>
      </c>
      <c r="D71" s="1">
        <v>103.82953530624367</v>
      </c>
      <c r="E71" s="3">
        <v>12.171609023605424</v>
      </c>
      <c r="F71" s="3">
        <v>12.890479590272379</v>
      </c>
      <c r="G71" s="2">
        <v>-5.5767557881201024E-2</v>
      </c>
    </row>
    <row r="72" spans="1:7" x14ac:dyDescent="0.45">
      <c r="A72">
        <v>20150815</v>
      </c>
      <c r="B72" t="s">
        <v>14</v>
      </c>
      <c r="C72">
        <v>334</v>
      </c>
      <c r="D72" s="1">
        <v>99.877545146193668</v>
      </c>
      <c r="E72" s="3">
        <v>19.473776518003724</v>
      </c>
      <c r="F72" s="3">
        <v>18.47743343676613</v>
      </c>
      <c r="G72" s="2">
        <v>5.3922157784916491E-2</v>
      </c>
    </row>
    <row r="73" spans="1:7" x14ac:dyDescent="0.45">
      <c r="A73">
        <v>20150815</v>
      </c>
      <c r="B73" t="s">
        <v>9</v>
      </c>
      <c r="C73">
        <v>171</v>
      </c>
      <c r="D73" s="1">
        <v>103.23002664526462</v>
      </c>
      <c r="E73" s="3">
        <v>25.629501832898345</v>
      </c>
      <c r="F73" s="3">
        <v>28.573928896841508</v>
      </c>
      <c r="G73" s="2">
        <v>-0.10304592954553871</v>
      </c>
    </row>
    <row r="74" spans="1:7" x14ac:dyDescent="0.45">
      <c r="A74">
        <v>20150815</v>
      </c>
      <c r="B74" t="s">
        <v>15</v>
      </c>
      <c r="C74">
        <v>465</v>
      </c>
      <c r="D74" s="1">
        <v>96.655086447459468</v>
      </c>
      <c r="E74" s="3">
        <v>13.291199381491801</v>
      </c>
      <c r="F74" s="3">
        <v>13.745883669731054</v>
      </c>
      <c r="G74" s="2">
        <v>-3.3077850734360981E-2</v>
      </c>
    </row>
    <row r="75" spans="1:7" x14ac:dyDescent="0.45">
      <c r="A75">
        <v>20150815</v>
      </c>
      <c r="B75" t="s">
        <v>16</v>
      </c>
      <c r="C75">
        <v>222</v>
      </c>
      <c r="D75" s="1">
        <v>91.667184630236321</v>
      </c>
      <c r="E75" s="3">
        <v>8.6904288598184856</v>
      </c>
      <c r="F75" s="3">
        <v>8.5239104708553928</v>
      </c>
      <c r="G75" s="2">
        <v>1.9535445560162179E-2</v>
      </c>
    </row>
    <row r="76" spans="1:7" x14ac:dyDescent="0.45">
      <c r="A76">
        <v>20150815</v>
      </c>
      <c r="B76" t="s">
        <v>17</v>
      </c>
      <c r="C76">
        <v>142</v>
      </c>
      <c r="D76" s="1">
        <v>102.58358088256874</v>
      </c>
      <c r="E76" s="3">
        <v>12.512414076266376</v>
      </c>
      <c r="F76" s="3">
        <v>11.937184645288431</v>
      </c>
      <c r="G76" s="2">
        <v>4.8188031606345882E-2</v>
      </c>
    </row>
    <row r="77" spans="1:7" x14ac:dyDescent="0.45">
      <c r="A77">
        <v>20150816</v>
      </c>
      <c r="B77" t="s">
        <v>14</v>
      </c>
      <c r="C77">
        <v>341</v>
      </c>
      <c r="D77" s="1">
        <v>102.4743613199947</v>
      </c>
      <c r="E77" s="3">
        <v>19.162196093715664</v>
      </c>
      <c r="F77" s="3">
        <v>19.8327014425393</v>
      </c>
      <c r="G77" s="2">
        <v>-3.3808069504110194E-2</v>
      </c>
    </row>
    <row r="78" spans="1:7" x14ac:dyDescent="0.45">
      <c r="A78">
        <v>20150816</v>
      </c>
      <c r="B78" t="s">
        <v>9</v>
      </c>
      <c r="C78">
        <v>176</v>
      </c>
      <c r="D78" s="1">
        <v>102.81710653868356</v>
      </c>
      <c r="E78" s="3">
        <v>26.449645891551093</v>
      </c>
      <c r="F78" s="3">
        <v>27.466708201374832</v>
      </c>
      <c r="G78" s="2">
        <v>-3.7028911596069247E-2</v>
      </c>
    </row>
    <row r="79" spans="1:7" x14ac:dyDescent="0.45">
      <c r="A79">
        <v>20150816</v>
      </c>
      <c r="B79" t="s">
        <v>15</v>
      </c>
      <c r="C79">
        <v>477</v>
      </c>
      <c r="D79" s="1">
        <v>95.205260150747577</v>
      </c>
      <c r="E79" s="3">
        <v>13.012084194480472</v>
      </c>
      <c r="F79" s="3">
        <v>13.131479924892808</v>
      </c>
      <c r="G79" s="2">
        <v>-9.092328594738408E-3</v>
      </c>
    </row>
    <row r="80" spans="1:7" x14ac:dyDescent="0.45">
      <c r="A80">
        <v>20150816</v>
      </c>
      <c r="B80" t="s">
        <v>16</v>
      </c>
      <c r="C80">
        <v>228</v>
      </c>
      <c r="D80" s="1">
        <v>91.575517445606081</v>
      </c>
      <c r="E80" s="3">
        <v>8.8642374370148556</v>
      </c>
      <c r="F80" s="3">
        <v>7.8739471615368801</v>
      </c>
      <c r="G80" s="2">
        <v>0.12576796048561301</v>
      </c>
    </row>
    <row r="81" spans="1:7" x14ac:dyDescent="0.45">
      <c r="A81">
        <v>20150816</v>
      </c>
      <c r="B81" t="s">
        <v>17</v>
      </c>
      <c r="C81">
        <v>139</v>
      </c>
      <c r="D81" s="1">
        <v>100.83966000756507</v>
      </c>
      <c r="E81" s="3">
        <v>12.462364419961311</v>
      </c>
      <c r="F81" s="3">
        <v>13.823706500992019</v>
      </c>
      <c r="G81" s="2">
        <v>-9.8478803852860675E-2</v>
      </c>
    </row>
    <row r="82" spans="1:7" x14ac:dyDescent="0.45">
      <c r="A82">
        <v>20150817</v>
      </c>
      <c r="B82" t="s">
        <v>14</v>
      </c>
      <c r="C82">
        <v>351</v>
      </c>
      <c r="D82" s="1">
        <v>100.93724590019478</v>
      </c>
      <c r="E82" s="3">
        <v>18.913087544497362</v>
      </c>
      <c r="F82" s="3">
        <v>18.899446185287328</v>
      </c>
      <c r="G82" s="2">
        <v>7.217861876107623E-4</v>
      </c>
    </row>
    <row r="83" spans="1:7" x14ac:dyDescent="0.45">
      <c r="A83">
        <v>20150817</v>
      </c>
      <c r="B83" t="s">
        <v>9</v>
      </c>
      <c r="C83">
        <v>178</v>
      </c>
      <c r="D83" s="1">
        <v>106.31288816099881</v>
      </c>
      <c r="E83" s="3">
        <v>27.031538101165218</v>
      </c>
      <c r="F83" s="3">
        <v>30.749669490567829</v>
      </c>
      <c r="G83" s="2">
        <v>-0.1209161415716391</v>
      </c>
    </row>
    <row r="84" spans="1:7" x14ac:dyDescent="0.45">
      <c r="A84">
        <v>20150817</v>
      </c>
      <c r="B84" t="s">
        <v>15</v>
      </c>
      <c r="C84">
        <v>483</v>
      </c>
      <c r="D84" s="1">
        <v>94.348412809390851</v>
      </c>
      <c r="E84" s="3">
        <v>12.699794173812942</v>
      </c>
      <c r="F84" s="3">
        <v>12.940618571696163</v>
      </c>
      <c r="G84" s="2">
        <v>-1.8609960300503325E-2</v>
      </c>
    </row>
    <row r="85" spans="1:7" x14ac:dyDescent="0.45">
      <c r="A85">
        <v>20150817</v>
      </c>
      <c r="B85" t="s">
        <v>16</v>
      </c>
      <c r="C85">
        <v>227</v>
      </c>
      <c r="D85" s="1">
        <v>88.828251922237897</v>
      </c>
      <c r="E85" s="3">
        <v>8.819916249829781</v>
      </c>
      <c r="F85" s="3">
        <v>7.5211943287000285</v>
      </c>
      <c r="G85" s="2">
        <v>0.17267495883918005</v>
      </c>
    </row>
    <row r="86" spans="1:7" x14ac:dyDescent="0.45">
      <c r="A86">
        <v>20150817</v>
      </c>
      <c r="B86" t="s">
        <v>17</v>
      </c>
      <c r="C86">
        <v>146</v>
      </c>
      <c r="D86" s="1">
        <v>99.932103067496982</v>
      </c>
      <c r="E86" s="3">
        <v>12.798848259300266</v>
      </c>
      <c r="F86" s="3">
        <v>14.069174057330136</v>
      </c>
      <c r="G86" s="2">
        <v>-9.0291426693098642E-2</v>
      </c>
    </row>
    <row r="87" spans="1:7" x14ac:dyDescent="0.45">
      <c r="A87">
        <v>20150818</v>
      </c>
      <c r="B87" t="s">
        <v>14</v>
      </c>
      <c r="C87">
        <v>354</v>
      </c>
      <c r="D87" s="1">
        <v>102.14849285099712</v>
      </c>
      <c r="E87" s="3">
        <v>19.499393258376777</v>
      </c>
      <c r="F87" s="3">
        <v>18.922419512094777</v>
      </c>
      <c r="G87" s="2">
        <v>3.0491541840788949E-2</v>
      </c>
    </row>
    <row r="88" spans="1:7" x14ac:dyDescent="0.45">
      <c r="A88">
        <v>20150818</v>
      </c>
      <c r="B88" t="s">
        <v>9</v>
      </c>
      <c r="C88">
        <v>178</v>
      </c>
      <c r="D88" s="1">
        <v>108.12020725973578</v>
      </c>
      <c r="E88" s="3">
        <v>28.410146544324643</v>
      </c>
      <c r="F88" s="3">
        <v>31.331451513048837</v>
      </c>
      <c r="G88" s="2">
        <v>-9.3238737040559294E-2</v>
      </c>
    </row>
    <row r="89" spans="1:7" x14ac:dyDescent="0.45">
      <c r="A89">
        <v>20150818</v>
      </c>
      <c r="B89" t="s">
        <v>15</v>
      </c>
      <c r="C89">
        <v>489</v>
      </c>
      <c r="D89" s="1">
        <v>92.74448979163121</v>
      </c>
      <c r="E89" s="3">
        <v>13.055388410679704</v>
      </c>
      <c r="F89" s="3">
        <v>12.350316439236655</v>
      </c>
      <c r="G89" s="2">
        <v>5.7089385111060986E-2</v>
      </c>
    </row>
    <row r="90" spans="1:7" x14ac:dyDescent="0.45">
      <c r="A90">
        <v>20150818</v>
      </c>
      <c r="B90" t="s">
        <v>16</v>
      </c>
      <c r="C90">
        <v>237</v>
      </c>
      <c r="D90" s="1">
        <v>86.874030379948664</v>
      </c>
      <c r="E90" s="3">
        <v>8.9874946585765461</v>
      </c>
      <c r="F90" s="3">
        <v>7.4174088980836492</v>
      </c>
      <c r="G90" s="2">
        <v>0.21167577277538818</v>
      </c>
    </row>
    <row r="91" spans="1:7" x14ac:dyDescent="0.45">
      <c r="A91">
        <v>20150818</v>
      </c>
      <c r="B91" t="s">
        <v>17</v>
      </c>
      <c r="C91">
        <v>148</v>
      </c>
      <c r="D91" s="1">
        <v>101.23122040737444</v>
      </c>
      <c r="E91" s="3">
        <v>13.374796430968777</v>
      </c>
      <c r="F91" s="3">
        <v>12.456312081745921</v>
      </c>
      <c r="G91" s="2">
        <v>7.3736459330434379E-2</v>
      </c>
    </row>
    <row r="92" spans="1:7" x14ac:dyDescent="0.45">
      <c r="A92">
        <v>20150819</v>
      </c>
      <c r="B92" t="s">
        <v>14</v>
      </c>
      <c r="C92">
        <v>370</v>
      </c>
      <c r="D92" s="1">
        <v>100.41196847253016</v>
      </c>
      <c r="E92" s="3">
        <v>19.148404179725993</v>
      </c>
      <c r="F92" s="3">
        <v>20.573199837694851</v>
      </c>
      <c r="G92" s="2">
        <v>-6.9254936966990588E-2</v>
      </c>
    </row>
    <row r="93" spans="1:7" x14ac:dyDescent="0.45">
      <c r="A93">
        <v>20150819</v>
      </c>
      <c r="B93" t="s">
        <v>9</v>
      </c>
      <c r="C93">
        <v>175</v>
      </c>
      <c r="D93" s="1">
        <v>109.20140933233314</v>
      </c>
      <c r="E93" s="3">
        <v>28.126045078881397</v>
      </c>
      <c r="F93" s="3">
        <v>30.406897239429959</v>
      </c>
      <c r="G93" s="2">
        <v>-7.5011012882658767E-2</v>
      </c>
    </row>
    <row r="94" spans="1:7" x14ac:dyDescent="0.45">
      <c r="A94">
        <v>20150819</v>
      </c>
      <c r="B94" t="s">
        <v>15</v>
      </c>
      <c r="C94">
        <v>481</v>
      </c>
      <c r="D94" s="1">
        <v>93.393701220172616</v>
      </c>
      <c r="E94" s="3">
        <v>12.977056080215625</v>
      </c>
      <c r="F94" s="3">
        <v>12.119752982730825</v>
      </c>
      <c r="G94" s="2">
        <v>7.0736020668602295E-2</v>
      </c>
    </row>
    <row r="95" spans="1:7" x14ac:dyDescent="0.45">
      <c r="A95">
        <v>20150819</v>
      </c>
      <c r="B95" t="s">
        <v>16</v>
      </c>
      <c r="C95">
        <v>229</v>
      </c>
      <c r="D95" s="1">
        <v>84.615305590069994</v>
      </c>
      <c r="E95" s="3">
        <v>9.4458568861639485</v>
      </c>
      <c r="F95" s="3">
        <v>8.3922727033197102</v>
      </c>
      <c r="G95" s="2">
        <v>0.12554217672496204</v>
      </c>
    </row>
    <row r="96" spans="1:7" x14ac:dyDescent="0.45">
      <c r="A96">
        <v>20150819</v>
      </c>
      <c r="B96" t="s">
        <v>17</v>
      </c>
      <c r="C96">
        <v>149</v>
      </c>
      <c r="D96" s="1">
        <v>103.3570760359293</v>
      </c>
      <c r="E96" s="3">
        <v>13.428295616692653</v>
      </c>
      <c r="F96" s="3">
        <v>14.989421207744337</v>
      </c>
      <c r="G96" s="2">
        <v>-0.10414849041970509</v>
      </c>
    </row>
    <row r="97" spans="1:7" x14ac:dyDescent="0.45">
      <c r="A97">
        <v>20150820</v>
      </c>
      <c r="B97" t="s">
        <v>14</v>
      </c>
      <c r="C97">
        <v>365</v>
      </c>
      <c r="D97" s="1">
        <v>101.01444028336535</v>
      </c>
      <c r="E97" s="3">
        <v>18.573952054334214</v>
      </c>
      <c r="F97" s="3">
        <v>19.512868654433799</v>
      </c>
      <c r="G97" s="2">
        <v>-4.8117814798401826E-2</v>
      </c>
    </row>
    <row r="98" spans="1:7" x14ac:dyDescent="0.45">
      <c r="A98">
        <v>20150820</v>
      </c>
      <c r="B98" t="s">
        <v>9</v>
      </c>
      <c r="C98">
        <v>171</v>
      </c>
      <c r="D98" s="1">
        <v>111.93144456564146</v>
      </c>
      <c r="E98" s="3">
        <v>28.66043993538014</v>
      </c>
      <c r="F98" s="3">
        <v>32.721645327309773</v>
      </c>
      <c r="G98" s="2">
        <v>-0.12411372812418198</v>
      </c>
    </row>
    <row r="99" spans="1:7" x14ac:dyDescent="0.45">
      <c r="A99">
        <v>20150820</v>
      </c>
      <c r="B99" t="s">
        <v>15</v>
      </c>
      <c r="C99">
        <v>492</v>
      </c>
      <c r="D99" s="1">
        <v>93.300307518952437</v>
      </c>
      <c r="E99" s="3">
        <v>13.08087252885735</v>
      </c>
      <c r="F99" s="3">
        <v>11.106089808983331</v>
      </c>
      <c r="G99" s="2">
        <v>0.17781080054626308</v>
      </c>
    </row>
    <row r="100" spans="1:7" x14ac:dyDescent="0.45">
      <c r="A100">
        <v>20150820</v>
      </c>
      <c r="B100" t="s">
        <v>16</v>
      </c>
      <c r="C100">
        <v>230</v>
      </c>
      <c r="D100" s="1">
        <v>83.007614783858656</v>
      </c>
      <c r="E100" s="3">
        <v>9.2474938915545053</v>
      </c>
      <c r="F100" s="3">
        <v>6.9085116959961805</v>
      </c>
      <c r="G100" s="2">
        <v>0.33856527982921114</v>
      </c>
    </row>
    <row r="101" spans="1:7" x14ac:dyDescent="0.45">
      <c r="A101">
        <v>20150820</v>
      </c>
      <c r="B101" t="s">
        <v>17</v>
      </c>
      <c r="C101">
        <v>151</v>
      </c>
      <c r="D101" s="1">
        <v>103.15036188385744</v>
      </c>
      <c r="E101" s="3">
        <v>13.911714258893589</v>
      </c>
      <c r="F101" s="3">
        <v>14.062983930250995</v>
      </c>
      <c r="G101" s="2">
        <v>-1.0756584243263534E-2</v>
      </c>
    </row>
    <row r="102" spans="1:7" x14ac:dyDescent="0.45">
      <c r="A102">
        <v>20150821</v>
      </c>
      <c r="B102" t="s">
        <v>14</v>
      </c>
      <c r="C102">
        <v>367</v>
      </c>
      <c r="D102" s="1">
        <v>98.489079276281217</v>
      </c>
      <c r="E102" s="3">
        <v>19.558371513213928</v>
      </c>
      <c r="F102" s="3">
        <v>18.107088423310937</v>
      </c>
      <c r="G102" s="2">
        <v>8.014999739188422E-2</v>
      </c>
    </row>
    <row r="103" spans="1:7" x14ac:dyDescent="0.45">
      <c r="A103">
        <v>20150821</v>
      </c>
      <c r="B103" t="s">
        <v>9</v>
      </c>
      <c r="C103">
        <v>170</v>
      </c>
      <c r="D103" s="1">
        <v>111.48371878737889</v>
      </c>
      <c r="E103" s="3">
        <v>28.803742135057039</v>
      </c>
      <c r="F103" s="3">
        <v>29.863679080342539</v>
      </c>
      <c r="G103" s="2">
        <v>-3.5492510565558355E-2</v>
      </c>
    </row>
    <row r="104" spans="1:7" x14ac:dyDescent="0.45">
      <c r="A104">
        <v>20150821</v>
      </c>
      <c r="B104" t="s">
        <v>15</v>
      </c>
      <c r="C104">
        <v>510</v>
      </c>
      <c r="D104" s="1">
        <v>94.886412746774624</v>
      </c>
      <c r="E104" s="3">
        <v>13.761077900357932</v>
      </c>
      <c r="F104" s="3">
        <v>13.710262833685759</v>
      </c>
      <c r="G104" s="2">
        <v>3.706352481246622E-3</v>
      </c>
    </row>
    <row r="105" spans="1:7" x14ac:dyDescent="0.45">
      <c r="A105">
        <v>20150821</v>
      </c>
      <c r="B105" t="s">
        <v>16</v>
      </c>
      <c r="C105">
        <v>226</v>
      </c>
      <c r="D105" s="1">
        <v>85.912881301293709</v>
      </c>
      <c r="E105" s="3">
        <v>8.9053366175669879</v>
      </c>
      <c r="F105" s="3">
        <v>7.6508312777309708</v>
      </c>
      <c r="G105" s="2">
        <v>0.16396980854713994</v>
      </c>
    </row>
    <row r="106" spans="1:7" x14ac:dyDescent="0.45">
      <c r="A106">
        <v>20150821</v>
      </c>
      <c r="B106" t="s">
        <v>17</v>
      </c>
      <c r="C106">
        <v>159</v>
      </c>
      <c r="D106" s="1">
        <v>100.571602836761</v>
      </c>
      <c r="E106" s="3">
        <v>13.856067401858015</v>
      </c>
      <c r="F106" s="3">
        <v>13.795916385428647</v>
      </c>
      <c r="G106" s="2">
        <v>4.3600595095589778E-3</v>
      </c>
    </row>
    <row r="107" spans="1:7" x14ac:dyDescent="0.45">
      <c r="A107">
        <v>20150822</v>
      </c>
      <c r="B107" t="s">
        <v>14</v>
      </c>
      <c r="C107">
        <v>380</v>
      </c>
      <c r="D107" s="1">
        <v>100.85281717891196</v>
      </c>
      <c r="E107" s="3">
        <v>20.242914516176413</v>
      </c>
      <c r="F107" s="3">
        <v>21.028016055743315</v>
      </c>
      <c r="G107" s="2">
        <v>-3.7335977749192839E-2</v>
      </c>
    </row>
    <row r="108" spans="1:7" x14ac:dyDescent="0.45">
      <c r="A108">
        <v>20150822</v>
      </c>
      <c r="B108" t="s">
        <v>9</v>
      </c>
      <c r="C108">
        <v>170</v>
      </c>
      <c r="D108" s="1">
        <v>108.80810953648179</v>
      </c>
      <c r="E108" s="3">
        <v>28.429293487301297</v>
      </c>
      <c r="F108" s="3">
        <v>32.789379405997323</v>
      </c>
      <c r="G108" s="2">
        <v>-0.13297250505139313</v>
      </c>
    </row>
    <row r="109" spans="1:7" x14ac:dyDescent="0.45">
      <c r="A109">
        <v>20150822</v>
      </c>
      <c r="B109" t="s">
        <v>15</v>
      </c>
      <c r="C109">
        <v>527</v>
      </c>
      <c r="D109" s="1">
        <v>93.842662206560107</v>
      </c>
      <c r="E109" s="3">
        <v>13.623467121354352</v>
      </c>
      <c r="F109" s="3">
        <v>13.679547927720346</v>
      </c>
      <c r="G109" s="2">
        <v>-4.0996096261596282E-3</v>
      </c>
    </row>
    <row r="110" spans="1:7" x14ac:dyDescent="0.45">
      <c r="A110">
        <v>20150822</v>
      </c>
      <c r="B110" t="s">
        <v>16</v>
      </c>
      <c r="C110">
        <v>236</v>
      </c>
      <c r="D110" s="1">
        <v>87.802964689922177</v>
      </c>
      <c r="E110" s="3">
        <v>8.5135018063940393</v>
      </c>
      <c r="F110" s="3">
        <v>7.6993601944923675</v>
      </c>
      <c r="G110" s="2">
        <v>0.1057414631002791</v>
      </c>
    </row>
    <row r="111" spans="1:7" x14ac:dyDescent="0.45">
      <c r="A111">
        <v>20150822</v>
      </c>
      <c r="B111" t="s">
        <v>17</v>
      </c>
      <c r="C111">
        <v>163</v>
      </c>
      <c r="D111" s="1">
        <v>100.77274604243452</v>
      </c>
      <c r="E111" s="3">
        <v>13.426529312400415</v>
      </c>
      <c r="F111" s="3">
        <v>14.88331051492813</v>
      </c>
      <c r="G111" s="2">
        <v>-9.7880186069258412E-2</v>
      </c>
    </row>
    <row r="112" spans="1:7" x14ac:dyDescent="0.45">
      <c r="A112">
        <v>20150823</v>
      </c>
      <c r="B112" t="s">
        <v>14</v>
      </c>
      <c r="C112">
        <v>378</v>
      </c>
      <c r="D112" s="1">
        <v>104.08010732863715</v>
      </c>
      <c r="E112" s="3">
        <v>19.615384166174945</v>
      </c>
      <c r="F112" s="3">
        <v>18.782455861633029</v>
      </c>
      <c r="G112" s="2">
        <v>4.4346080761640039E-2</v>
      </c>
    </row>
    <row r="113" spans="1:7" x14ac:dyDescent="0.45">
      <c r="A113">
        <v>20150823</v>
      </c>
      <c r="B113" t="s">
        <v>9</v>
      </c>
      <c r="C113">
        <v>174</v>
      </c>
      <c r="D113" s="1">
        <v>107.06717978389808</v>
      </c>
      <c r="E113" s="3">
        <v>28.08814196545368</v>
      </c>
      <c r="F113" s="3">
        <v>28.268790568742283</v>
      </c>
      <c r="G113" s="2">
        <v>-6.3903902379308652E-3</v>
      </c>
    </row>
    <row r="114" spans="1:7" x14ac:dyDescent="0.45">
      <c r="A114">
        <v>20150823</v>
      </c>
      <c r="B114" t="s">
        <v>15</v>
      </c>
      <c r="C114">
        <v>511</v>
      </c>
      <c r="D114" s="1">
        <v>96.376414086137217</v>
      </c>
      <c r="E114" s="3">
        <v>14.222899674693943</v>
      </c>
      <c r="F114" s="3">
        <v>13.29629506497273</v>
      </c>
      <c r="G114" s="2">
        <v>6.9688932532959935E-2</v>
      </c>
    </row>
    <row r="115" spans="1:7" x14ac:dyDescent="0.45">
      <c r="A115">
        <v>20150823</v>
      </c>
      <c r="B115" t="s">
        <v>16</v>
      </c>
      <c r="C115">
        <v>238</v>
      </c>
      <c r="D115" s="1">
        <v>88.505388407441558</v>
      </c>
      <c r="E115" s="3">
        <v>8.7178258497474967</v>
      </c>
      <c r="F115" s="3">
        <v>7.7157456290033641</v>
      </c>
      <c r="G115" s="2">
        <v>0.12987470931873757</v>
      </c>
    </row>
    <row r="116" spans="1:7" x14ac:dyDescent="0.45">
      <c r="A116">
        <v>20150823</v>
      </c>
      <c r="B116" t="s">
        <v>17</v>
      </c>
      <c r="C116">
        <v>158</v>
      </c>
      <c r="D116" s="1">
        <v>102.1835644870286</v>
      </c>
      <c r="E116" s="3">
        <v>12.835762022654796</v>
      </c>
      <c r="F116" s="3">
        <v>13.378359947097408</v>
      </c>
      <c r="G116" s="2">
        <v>-4.0557880531562063E-2</v>
      </c>
    </row>
    <row r="117" spans="1:7" x14ac:dyDescent="0.45">
      <c r="A117">
        <v>20150824</v>
      </c>
      <c r="B117" t="s">
        <v>14</v>
      </c>
      <c r="C117">
        <v>381</v>
      </c>
      <c r="D117" s="1">
        <v>105.01682829459487</v>
      </c>
      <c r="E117" s="3">
        <v>19.478076477011719</v>
      </c>
      <c r="F117" s="3">
        <v>19.432495222505608</v>
      </c>
      <c r="G117" s="2">
        <v>2.3456202605067755E-3</v>
      </c>
    </row>
    <row r="118" spans="1:7" x14ac:dyDescent="0.45">
      <c r="A118">
        <v>20150824</v>
      </c>
      <c r="B118" t="s">
        <v>9</v>
      </c>
      <c r="C118">
        <v>179</v>
      </c>
      <c r="D118" s="1">
        <v>105.35410490735572</v>
      </c>
      <c r="E118" s="3">
        <v>27.189321422559161</v>
      </c>
      <c r="F118" s="3">
        <v>30.936671512330808</v>
      </c>
      <c r="G118" s="2">
        <v>-0.12112971132909434</v>
      </c>
    </row>
    <row r="119" spans="1:7" x14ac:dyDescent="0.45">
      <c r="A119">
        <v>20150824</v>
      </c>
      <c r="B119" t="s">
        <v>15</v>
      </c>
      <c r="C119">
        <v>538</v>
      </c>
      <c r="D119" s="1">
        <v>96.858296156567889</v>
      </c>
      <c r="E119" s="3">
        <v>14.336682872091496</v>
      </c>
      <c r="F119" s="3">
        <v>14.302854757936673</v>
      </c>
      <c r="G119" s="2">
        <v>2.3651302294076526E-3</v>
      </c>
    </row>
    <row r="120" spans="1:7" x14ac:dyDescent="0.45">
      <c r="A120">
        <v>20150824</v>
      </c>
      <c r="B120" t="s">
        <v>16</v>
      </c>
      <c r="C120">
        <v>248</v>
      </c>
      <c r="D120" s="1">
        <v>89.567453068330863</v>
      </c>
      <c r="E120" s="3">
        <v>9.162434968084618</v>
      </c>
      <c r="F120" s="3">
        <v>8.2065596399555254</v>
      </c>
      <c r="G120" s="2">
        <v>0.11647698549282381</v>
      </c>
    </row>
    <row r="121" spans="1:7" x14ac:dyDescent="0.45">
      <c r="A121">
        <v>20150824</v>
      </c>
      <c r="B121" t="s">
        <v>17</v>
      </c>
      <c r="C121">
        <v>153</v>
      </c>
      <c r="D121" s="1">
        <v>101.67264666459346</v>
      </c>
      <c r="E121" s="3">
        <v>12.707404402428248</v>
      </c>
      <c r="F121" s="3">
        <v>13.307553009671521</v>
      </c>
      <c r="G121" s="2">
        <v>-4.50983442866697E-2</v>
      </c>
    </row>
    <row r="122" spans="1:7" x14ac:dyDescent="0.45">
      <c r="A122">
        <v>20150825</v>
      </c>
      <c r="B122" t="s">
        <v>14</v>
      </c>
      <c r="C122">
        <v>363</v>
      </c>
      <c r="D122" s="1">
        <v>102.2863907589354</v>
      </c>
      <c r="E122" s="3">
        <v>20.432502224385292</v>
      </c>
      <c r="F122" s="3">
        <v>19.227695541697873</v>
      </c>
      <c r="G122" s="2">
        <v>6.2659962556335991E-2</v>
      </c>
    </row>
    <row r="123" spans="1:7" x14ac:dyDescent="0.45">
      <c r="A123">
        <v>20150825</v>
      </c>
      <c r="B123" t="s">
        <v>9</v>
      </c>
      <c r="C123">
        <v>186</v>
      </c>
      <c r="D123" s="1">
        <v>108.30401984476168</v>
      </c>
      <c r="E123" s="3">
        <v>27.977811743813373</v>
      </c>
      <c r="F123" s="3">
        <v>32.119160470138681</v>
      </c>
      <c r="G123" s="2">
        <v>-0.12893701658782575</v>
      </c>
    </row>
    <row r="124" spans="1:7" x14ac:dyDescent="0.45">
      <c r="A124">
        <v>20150825</v>
      </c>
      <c r="B124" t="s">
        <v>15</v>
      </c>
      <c r="C124">
        <v>567</v>
      </c>
      <c r="D124" s="1">
        <v>99.86090333742149</v>
      </c>
      <c r="E124" s="3">
        <v>14.795456723998424</v>
      </c>
      <c r="F124" s="3">
        <v>13.740635365858347</v>
      </c>
      <c r="G124" s="2">
        <v>7.6766563557971512E-2</v>
      </c>
    </row>
    <row r="125" spans="1:7" x14ac:dyDescent="0.45">
      <c r="A125">
        <v>20150825</v>
      </c>
      <c r="B125" t="s">
        <v>16</v>
      </c>
      <c r="C125">
        <v>255</v>
      </c>
      <c r="D125" s="1">
        <v>90.194425239809163</v>
      </c>
      <c r="E125" s="3">
        <v>9.5930694115845938</v>
      </c>
      <c r="F125" s="3">
        <v>9.4311310623117866</v>
      </c>
      <c r="G125" s="2">
        <v>1.7170618052370967E-2</v>
      </c>
    </row>
    <row r="126" spans="1:7" x14ac:dyDescent="0.45">
      <c r="A126">
        <v>20150825</v>
      </c>
      <c r="B126" t="s">
        <v>17</v>
      </c>
      <c r="C126">
        <v>153</v>
      </c>
      <c r="D126" s="1">
        <v>100.75759284461212</v>
      </c>
      <c r="E126" s="3">
        <v>12.173693417526261</v>
      </c>
      <c r="F126" s="3">
        <v>12.388579652260283</v>
      </c>
      <c r="G126" s="2">
        <v>-1.734551020098718E-2</v>
      </c>
    </row>
    <row r="127" spans="1:7" x14ac:dyDescent="0.45">
      <c r="A127">
        <v>20150826</v>
      </c>
      <c r="B127" t="s">
        <v>14</v>
      </c>
      <c r="C127">
        <v>382</v>
      </c>
      <c r="D127" s="1">
        <v>103.10468188500688</v>
      </c>
      <c r="E127" s="3">
        <v>21.556289846726482</v>
      </c>
      <c r="F127" s="3">
        <v>21.781033191223827</v>
      </c>
      <c r="G127" s="2">
        <v>-1.0318305037425812E-2</v>
      </c>
    </row>
    <row r="128" spans="1:7" x14ac:dyDescent="0.45">
      <c r="A128">
        <v>20150826</v>
      </c>
      <c r="B128" t="s">
        <v>9</v>
      </c>
      <c r="C128">
        <v>192</v>
      </c>
      <c r="D128" s="1">
        <v>108.73723592414073</v>
      </c>
      <c r="E128" s="3">
        <v>28.593323602177268</v>
      </c>
      <c r="F128" s="3">
        <v>32.957085128483662</v>
      </c>
      <c r="G128" s="2">
        <v>-0.13240738703966715</v>
      </c>
    </row>
    <row r="129" spans="1:7" x14ac:dyDescent="0.45">
      <c r="A129">
        <v>20150826</v>
      </c>
      <c r="B129" t="s">
        <v>15</v>
      </c>
      <c r="C129">
        <v>558</v>
      </c>
      <c r="D129" s="1">
        <v>100.55992966078342</v>
      </c>
      <c r="E129" s="3">
        <v>15.342888622786363</v>
      </c>
      <c r="F129" s="3">
        <v>15.428798007006311</v>
      </c>
      <c r="G129" s="2">
        <v>-5.5681190576826189E-3</v>
      </c>
    </row>
    <row r="130" spans="1:7" x14ac:dyDescent="0.45">
      <c r="A130">
        <v>20150826</v>
      </c>
      <c r="B130" t="s">
        <v>16</v>
      </c>
      <c r="C130">
        <v>245</v>
      </c>
      <c r="D130" s="1">
        <v>92.088508169845142</v>
      </c>
      <c r="E130" s="3">
        <v>9.3436496068833943</v>
      </c>
      <c r="F130" s="3">
        <v>9.3788260094402069</v>
      </c>
      <c r="G130" s="2">
        <v>-3.7506189496858688E-3</v>
      </c>
    </row>
    <row r="131" spans="1:7" x14ac:dyDescent="0.45">
      <c r="A131">
        <v>20150826</v>
      </c>
      <c r="B131" t="s">
        <v>17</v>
      </c>
      <c r="C131">
        <v>156</v>
      </c>
      <c r="D131" s="1">
        <v>100.5560776589229</v>
      </c>
      <c r="E131" s="3">
        <v>12.648467460809783</v>
      </c>
      <c r="F131" s="3">
        <v>11.446922486299933</v>
      </c>
      <c r="G131" s="2">
        <v>0.10496663849588406</v>
      </c>
    </row>
    <row r="132" spans="1:7" x14ac:dyDescent="0.45">
      <c r="A132">
        <v>20150827</v>
      </c>
      <c r="B132" t="s">
        <v>14</v>
      </c>
      <c r="C132">
        <v>369</v>
      </c>
      <c r="D132" s="1">
        <v>106.71334575098211</v>
      </c>
      <c r="E132" s="3">
        <v>22.073640803047919</v>
      </c>
      <c r="F132" s="3">
        <v>25.675517486685166</v>
      </c>
      <c r="G132" s="2">
        <v>-0.14028448250381365</v>
      </c>
    </row>
    <row r="133" spans="1:7" x14ac:dyDescent="0.45">
      <c r="A133">
        <v>20150827</v>
      </c>
      <c r="B133" t="s">
        <v>9</v>
      </c>
      <c r="C133">
        <v>200</v>
      </c>
      <c r="D133" s="1">
        <v>107.10617738527863</v>
      </c>
      <c r="E133" s="3">
        <v>28.13583042454243</v>
      </c>
      <c r="F133" s="3">
        <v>29.833860318898292</v>
      </c>
      <c r="G133" s="2">
        <v>-5.6916197776800681E-2</v>
      </c>
    </row>
    <row r="134" spans="1:7" x14ac:dyDescent="0.45">
      <c r="A134">
        <v>20150827</v>
      </c>
      <c r="B134" t="s">
        <v>15</v>
      </c>
      <c r="C134">
        <v>570</v>
      </c>
      <c r="D134" s="1">
        <v>97.945371489603048</v>
      </c>
      <c r="E134" s="3">
        <v>15.434945954523082</v>
      </c>
      <c r="F134" s="3">
        <v>13.606033638939381</v>
      </c>
      <c r="G134" s="2">
        <v>0.13441921166132498</v>
      </c>
    </row>
    <row r="135" spans="1:7" x14ac:dyDescent="0.45">
      <c r="A135">
        <v>20150827</v>
      </c>
      <c r="B135" t="s">
        <v>16</v>
      </c>
      <c r="C135">
        <v>251</v>
      </c>
      <c r="D135" s="1">
        <v>95.127428939450027</v>
      </c>
      <c r="E135" s="3">
        <v>9.7360828903724972</v>
      </c>
      <c r="F135" s="3">
        <v>10.002620159667053</v>
      </c>
      <c r="G135" s="2">
        <v>-2.6646745056789989E-2</v>
      </c>
    </row>
    <row r="136" spans="1:7" x14ac:dyDescent="0.45">
      <c r="A136">
        <v>20150827</v>
      </c>
      <c r="B136" t="s">
        <v>17</v>
      </c>
      <c r="C136">
        <v>164</v>
      </c>
      <c r="D136" s="1">
        <v>99.449960804674745</v>
      </c>
      <c r="E136" s="3">
        <v>12.357552709211157</v>
      </c>
      <c r="F136" s="3">
        <v>11.060623193154765</v>
      </c>
      <c r="G136" s="2">
        <v>0.11725645955094466</v>
      </c>
    </row>
    <row r="137" spans="1:7" x14ac:dyDescent="0.45">
      <c r="A137">
        <v>20150828</v>
      </c>
      <c r="B137" t="s">
        <v>14</v>
      </c>
      <c r="C137">
        <v>374</v>
      </c>
      <c r="D137" s="1">
        <v>105.96635233072524</v>
      </c>
      <c r="E137" s="3">
        <v>22.228156288669251</v>
      </c>
      <c r="F137" s="3">
        <v>21.905560760812232</v>
      </c>
      <c r="G137" s="2">
        <v>1.4726650067508062E-2</v>
      </c>
    </row>
    <row r="138" spans="1:7" x14ac:dyDescent="0.45">
      <c r="A138">
        <v>20150828</v>
      </c>
      <c r="B138" t="s">
        <v>9</v>
      </c>
      <c r="C138">
        <v>199</v>
      </c>
      <c r="D138" s="1">
        <v>106.89196503050808</v>
      </c>
      <c r="E138" s="3">
        <v>29.092448658976874</v>
      </c>
      <c r="F138" s="3">
        <v>30.475540246130631</v>
      </c>
      <c r="G138" s="2">
        <v>-4.538366099447122E-2</v>
      </c>
    </row>
    <row r="139" spans="1:7" x14ac:dyDescent="0.45">
      <c r="A139">
        <v>20150828</v>
      </c>
      <c r="B139" t="s">
        <v>15</v>
      </c>
      <c r="C139">
        <v>576</v>
      </c>
      <c r="D139" s="1">
        <v>98.435098347051053</v>
      </c>
      <c r="E139" s="3">
        <v>15.558425522159267</v>
      </c>
      <c r="F139" s="3">
        <v>13.783456317591149</v>
      </c>
      <c r="G139" s="2">
        <v>0.12877533498639315</v>
      </c>
    </row>
    <row r="140" spans="1:7" x14ac:dyDescent="0.45">
      <c r="A140">
        <v>20150828</v>
      </c>
      <c r="B140" t="s">
        <v>16</v>
      </c>
      <c r="C140">
        <v>240</v>
      </c>
      <c r="D140" s="1">
        <v>98.266634094451874</v>
      </c>
      <c r="E140" s="3">
        <v>10.018429294193298</v>
      </c>
      <c r="F140" s="3">
        <v>10.632355117059213</v>
      </c>
      <c r="G140" s="2">
        <v>-5.7741282726805565E-2</v>
      </c>
    </row>
    <row r="141" spans="1:7" x14ac:dyDescent="0.45">
      <c r="A141">
        <v>20150828</v>
      </c>
      <c r="B141" t="s">
        <v>17</v>
      </c>
      <c r="C141">
        <v>172</v>
      </c>
      <c r="D141" s="1">
        <v>101.14061013835421</v>
      </c>
      <c r="E141" s="3">
        <v>12.530558447140114</v>
      </c>
      <c r="F141" s="3">
        <v>12.293278769165177</v>
      </c>
      <c r="G141" s="2">
        <v>1.9301577913461099E-2</v>
      </c>
    </row>
    <row r="142" spans="1:7" x14ac:dyDescent="0.45">
      <c r="A142">
        <v>20150829</v>
      </c>
      <c r="B142" t="s">
        <v>14</v>
      </c>
      <c r="C142">
        <v>366</v>
      </c>
      <c r="D142" s="1">
        <v>103.21122717012638</v>
      </c>
      <c r="E142" s="3">
        <v>22.895000977329328</v>
      </c>
      <c r="F142" s="3">
        <v>23.630211469314027</v>
      </c>
      <c r="G142" s="2">
        <v>-3.1113157533077307E-2</v>
      </c>
    </row>
    <row r="143" spans="1:7" x14ac:dyDescent="0.45">
      <c r="A143">
        <v>20150829</v>
      </c>
      <c r="B143" t="s">
        <v>9</v>
      </c>
      <c r="C143">
        <v>198</v>
      </c>
      <c r="D143" s="1">
        <v>105.07480162498943</v>
      </c>
      <c r="E143" s="3">
        <v>29.528835388861523</v>
      </c>
      <c r="F143" s="3">
        <v>28.23490233838449</v>
      </c>
      <c r="G143" s="2">
        <v>4.5827431416965547E-2</v>
      </c>
    </row>
    <row r="144" spans="1:7" x14ac:dyDescent="0.45">
      <c r="A144">
        <v>20150829</v>
      </c>
      <c r="B144" t="s">
        <v>15</v>
      </c>
      <c r="C144">
        <v>556</v>
      </c>
      <c r="D144" s="1">
        <v>101.68345659250373</v>
      </c>
      <c r="E144" s="3">
        <v>16.056295138868364</v>
      </c>
      <c r="F144" s="3">
        <v>17.142925692790278</v>
      </c>
      <c r="G144" s="2">
        <v>-6.3386528845476686E-2</v>
      </c>
    </row>
    <row r="145" spans="1:7" x14ac:dyDescent="0.45">
      <c r="A145">
        <v>20150829</v>
      </c>
      <c r="B145" t="s">
        <v>16</v>
      </c>
      <c r="C145">
        <v>246</v>
      </c>
      <c r="D145" s="1">
        <v>96.596101314846194</v>
      </c>
      <c r="E145" s="3">
        <v>10.02844772348749</v>
      </c>
      <c r="F145" s="3">
        <v>9.3964768375877732</v>
      </c>
      <c r="G145" s="2">
        <v>6.7256153218162362E-2</v>
      </c>
    </row>
    <row r="146" spans="1:7" x14ac:dyDescent="0.45">
      <c r="A146">
        <v>20150829</v>
      </c>
      <c r="B146" t="s">
        <v>17</v>
      </c>
      <c r="C146">
        <v>166</v>
      </c>
      <c r="D146" s="1">
        <v>99.52236037614054</v>
      </c>
      <c r="E146" s="3">
        <v>11.929091641677388</v>
      </c>
      <c r="F146" s="3">
        <v>10.684902215907208</v>
      </c>
      <c r="G146" s="2">
        <v>0.11644368854568321</v>
      </c>
    </row>
    <row r="147" spans="1:7" x14ac:dyDescent="0.45">
      <c r="A147">
        <v>20150830</v>
      </c>
      <c r="B147" t="s">
        <v>14</v>
      </c>
      <c r="C147">
        <v>357</v>
      </c>
      <c r="D147" s="1">
        <v>104.96581803201852</v>
      </c>
      <c r="E147" s="3">
        <v>23.352900996875913</v>
      </c>
      <c r="F147" s="3">
        <v>25.983317379512904</v>
      </c>
      <c r="G147" s="2">
        <v>-0.10123481710272297</v>
      </c>
    </row>
    <row r="148" spans="1:7" x14ac:dyDescent="0.45">
      <c r="A148">
        <v>20150830</v>
      </c>
      <c r="B148" t="s">
        <v>9</v>
      </c>
      <c r="C148">
        <v>205</v>
      </c>
      <c r="D148" s="1">
        <v>102.86823079086466</v>
      </c>
      <c r="E148" s="3">
        <v>28.554383821029091</v>
      </c>
      <c r="F148" s="3">
        <v>30.842058922421803</v>
      </c>
      <c r="G148" s="2">
        <v>-7.4173877533500132E-2</v>
      </c>
    </row>
    <row r="149" spans="1:7" x14ac:dyDescent="0.45">
      <c r="A149">
        <v>20150830</v>
      </c>
      <c r="B149" t="s">
        <v>15</v>
      </c>
      <c r="C149">
        <v>530</v>
      </c>
      <c r="D149" s="1">
        <v>102.39524078865125</v>
      </c>
      <c r="E149" s="3">
        <v>16.16868920484044</v>
      </c>
      <c r="F149" s="3">
        <v>16.88708760853833</v>
      </c>
      <c r="G149" s="2">
        <v>-4.2541284817795288E-2</v>
      </c>
    </row>
    <row r="150" spans="1:7" x14ac:dyDescent="0.45">
      <c r="A150">
        <v>20150830</v>
      </c>
      <c r="B150" t="s">
        <v>16</v>
      </c>
      <c r="C150">
        <v>251</v>
      </c>
      <c r="D150" s="1">
        <v>98.914407746402503</v>
      </c>
      <c r="E150" s="3">
        <v>9.7677080826768155</v>
      </c>
      <c r="F150" s="3">
        <v>9.3718204823659423</v>
      </c>
      <c r="G150" s="2">
        <v>4.2242337127111673E-2</v>
      </c>
    </row>
    <row r="151" spans="1:7" x14ac:dyDescent="0.45">
      <c r="A151">
        <v>20150830</v>
      </c>
      <c r="B151" t="s">
        <v>17</v>
      </c>
      <c r="C151">
        <v>158</v>
      </c>
      <c r="D151" s="1">
        <v>102.90612062892932</v>
      </c>
      <c r="E151" s="3">
        <v>12.501688040477903</v>
      </c>
      <c r="F151" s="3">
        <v>13.25095224085422</v>
      </c>
      <c r="G151" s="2">
        <v>-5.6544177864157441E-2</v>
      </c>
    </row>
    <row r="152" spans="1:7" x14ac:dyDescent="0.45">
      <c r="A152">
        <v>20150831</v>
      </c>
      <c r="B152" t="s">
        <v>14</v>
      </c>
      <c r="C152">
        <v>359</v>
      </c>
      <c r="D152" s="1">
        <v>101.92180930908998</v>
      </c>
      <c r="E152" s="3">
        <v>22.699019768963389</v>
      </c>
      <c r="F152" s="3">
        <v>24.754719259032385</v>
      </c>
      <c r="G152" s="2">
        <v>-8.3042730905498852E-2</v>
      </c>
    </row>
    <row r="153" spans="1:7" x14ac:dyDescent="0.45">
      <c r="A153">
        <v>20150831</v>
      </c>
      <c r="B153" t="s">
        <v>9</v>
      </c>
      <c r="C153">
        <v>197</v>
      </c>
      <c r="D153" s="1">
        <v>101.42807555979255</v>
      </c>
      <c r="E153" s="3">
        <v>29.239689032733789</v>
      </c>
      <c r="F153" s="3">
        <v>30.843544040992388</v>
      </c>
      <c r="G153" s="2">
        <v>-5.1999699065937599E-2</v>
      </c>
    </row>
    <row r="154" spans="1:7" x14ac:dyDescent="0.45">
      <c r="A154">
        <v>20150831</v>
      </c>
      <c r="B154" t="s">
        <v>15</v>
      </c>
      <c r="C154">
        <v>523</v>
      </c>
      <c r="D154" s="1">
        <v>104.64793608600158</v>
      </c>
      <c r="E154" s="3">
        <v>16.734593327009854</v>
      </c>
      <c r="F154" s="3">
        <v>15.936289941482416</v>
      </c>
      <c r="G154" s="2">
        <v>5.0093427545481628E-2</v>
      </c>
    </row>
    <row r="155" spans="1:7" x14ac:dyDescent="0.45">
      <c r="A155">
        <v>20150831</v>
      </c>
      <c r="B155" t="s">
        <v>16</v>
      </c>
      <c r="C155">
        <v>243</v>
      </c>
      <c r="D155" s="1">
        <v>102.2774976097802</v>
      </c>
      <c r="E155" s="3">
        <v>9.5039799644445413</v>
      </c>
      <c r="F155" s="3">
        <v>9.6232285521590661</v>
      </c>
      <c r="G155" s="2">
        <v>-1.2391744316180731E-2</v>
      </c>
    </row>
    <row r="156" spans="1:7" x14ac:dyDescent="0.45">
      <c r="A156">
        <v>20150831</v>
      </c>
      <c r="B156" t="s">
        <v>17</v>
      </c>
      <c r="C156">
        <v>151</v>
      </c>
      <c r="D156" s="1">
        <v>101.77415330201109</v>
      </c>
      <c r="E156" s="3">
        <v>12.626704920882682</v>
      </c>
      <c r="F156" s="3">
        <v>13.236243683866869</v>
      </c>
      <c r="G156" s="2">
        <v>-4.6050735959714095E-2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zoomScale="130" zoomScaleNormal="130" workbookViewId="0"/>
  </sheetViews>
  <sheetFormatPr defaultRowHeight="14.25" x14ac:dyDescent="0.45"/>
  <cols>
    <col min="1" max="1" width="32.06640625" style="7" bestFit="1" customWidth="1"/>
  </cols>
  <sheetData>
    <row r="1" spans="1:4" ht="18" x14ac:dyDescent="0.55000000000000004">
      <c r="A1" s="12" t="s">
        <v>34</v>
      </c>
      <c r="B1" s="12"/>
    </row>
    <row r="2" spans="1:4" x14ac:dyDescent="0.45">
      <c r="A2" s="7" t="s">
        <v>1</v>
      </c>
      <c r="B2" t="s">
        <v>36</v>
      </c>
    </row>
    <row r="3" spans="1:4" x14ac:dyDescent="0.45">
      <c r="A3" s="7" t="s">
        <v>26</v>
      </c>
      <c r="B3" t="s">
        <v>27</v>
      </c>
    </row>
    <row r="4" spans="1:4" x14ac:dyDescent="0.45">
      <c r="A4" s="9" t="s">
        <v>22</v>
      </c>
      <c r="B4" t="s">
        <v>29</v>
      </c>
    </row>
    <row r="5" spans="1:4" x14ac:dyDescent="0.45">
      <c r="A5" t="s">
        <v>28</v>
      </c>
      <c r="B5" t="s">
        <v>30</v>
      </c>
    </row>
    <row r="6" spans="1:4" x14ac:dyDescent="0.45">
      <c r="A6" t="s">
        <v>24</v>
      </c>
      <c r="B6" t="s">
        <v>37</v>
      </c>
      <c r="D6" s="8"/>
    </row>
    <row r="7" spans="1:4" x14ac:dyDescent="0.45">
      <c r="A7" t="s">
        <v>4</v>
      </c>
      <c r="B7" t="s">
        <v>38</v>
      </c>
      <c r="D7" s="8"/>
    </row>
    <row r="8" spans="1:4" x14ac:dyDescent="0.45">
      <c r="A8" s="10" t="s">
        <v>23</v>
      </c>
      <c r="B8" t="s">
        <v>39</v>
      </c>
      <c r="D8" s="8"/>
    </row>
    <row r="9" spans="1:4" x14ac:dyDescent="0.45">
      <c r="A9" s="9" t="s">
        <v>25</v>
      </c>
      <c r="B9" t="s">
        <v>40</v>
      </c>
    </row>
    <row r="10" spans="1:4" x14ac:dyDescent="0.45">
      <c r="A10" s="9" t="s">
        <v>5</v>
      </c>
      <c r="B10" t="s">
        <v>41</v>
      </c>
    </row>
    <row r="11" spans="1:4" x14ac:dyDescent="0.45">
      <c r="A11" s="9" t="s">
        <v>31</v>
      </c>
      <c r="B11" t="s">
        <v>32</v>
      </c>
    </row>
    <row r="12" spans="1:4" x14ac:dyDescent="0.45">
      <c r="A12" t="s">
        <v>42</v>
      </c>
      <c r="B12" t="s">
        <v>43</v>
      </c>
    </row>
    <row r="13" spans="1:4" x14ac:dyDescent="0.45">
      <c r="A13" s="9" t="s">
        <v>44</v>
      </c>
      <c r="B13" t="s">
        <v>46</v>
      </c>
    </row>
    <row r="14" spans="1:4" x14ac:dyDescent="0.45">
      <c r="A14" s="7" t="s">
        <v>6</v>
      </c>
      <c r="B14" t="s">
        <v>45</v>
      </c>
    </row>
    <row r="15" spans="1:4" x14ac:dyDescent="0.45">
      <c r="A15" s="11" t="s">
        <v>7</v>
      </c>
      <c r="B15" t="s">
        <v>33</v>
      </c>
    </row>
    <row r="16" spans="1:4" x14ac:dyDescent="0.45">
      <c r="A16" s="7" t="s">
        <v>8</v>
      </c>
      <c r="B16" t="s">
        <v>47</v>
      </c>
    </row>
    <row r="19" spans="1:2" ht="18" x14ac:dyDescent="0.55000000000000004">
      <c r="A19" s="12" t="s">
        <v>35</v>
      </c>
      <c r="B19" s="12"/>
    </row>
    <row r="20" spans="1:2" x14ac:dyDescent="0.45">
      <c r="A20" t="s">
        <v>19</v>
      </c>
      <c r="B20" t="s">
        <v>48</v>
      </c>
    </row>
    <row r="21" spans="1:2" x14ac:dyDescent="0.45">
      <c r="A21" t="s">
        <v>3</v>
      </c>
      <c r="B21" t="s">
        <v>49</v>
      </c>
    </row>
    <row r="22" spans="1:2" x14ac:dyDescent="0.45">
      <c r="A22" t="s">
        <v>20</v>
      </c>
      <c r="B22" t="s">
        <v>43</v>
      </c>
    </row>
    <row r="23" spans="1:2" x14ac:dyDescent="0.45">
      <c r="A23" t="s">
        <v>21</v>
      </c>
      <c r="B23" t="s">
        <v>50</v>
      </c>
    </row>
    <row r="24" spans="1:2" x14ac:dyDescent="0.45">
      <c r="A24" s="2" t="s">
        <v>7</v>
      </c>
      <c r="B24" t="s">
        <v>33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Sold Vehicles</vt:lpstr>
      <vt:lpstr>By Day Data</vt:lpstr>
      <vt:lpstr>Definitions</vt:lpstr>
    </vt:vector>
  </TitlesOfParts>
  <Company>Trader Media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Headleand</dc:creator>
  <cp:lastModifiedBy>Windows User</cp:lastModifiedBy>
  <dcterms:created xsi:type="dcterms:W3CDTF">2015-10-06T06:47:39Z</dcterms:created>
  <dcterms:modified xsi:type="dcterms:W3CDTF">2020-10-19T14:12:15Z</dcterms:modified>
</cp:coreProperties>
</file>